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list" sheetId="1" state="visible" r:id="rId3"/>
    <sheet name="Tot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<sst xmlns="http://schemas.openxmlformats.org/spreadsheetml/2006/main" count="988" uniqueCount="305">
  <si>
    <t xml:space="preserve">UBCO Heat vs Regina · first half · master list from handwritten notes</t>
  </si>
  <si>
    <t xml:space="preserve">Yellow rows need a look. Fix a row by changing the notes and telling me, or by editing the play in the app after import. Stat columns add up on the Totals sheet.</t>
  </si>
  <si>
    <t xml:space="preserve">#</t>
  </si>
  <si>
    <t xml:space="preserve">Page</t>
  </si>
  <si>
    <t xml:space="preserve">Period</t>
  </si>
  <si>
    <t xml:space="preserve">Video time</t>
  </si>
  <si>
    <t xml:space="preserve">Player</t>
  </si>
  <si>
    <t xml:space="preserve">As written in the notes</t>
  </si>
  <si>
    <t xml:space="preserve">Booked as</t>
  </si>
  <si>
    <t xml:space="preserve">Check</t>
  </si>
  <si>
    <t xml:space="preserve">PTS</t>
  </si>
  <si>
    <t xml:space="preserve">FGM</t>
  </si>
  <si>
    <t xml:space="preserve">FGA</t>
  </si>
  <si>
    <t xml:space="preserve">3PM</t>
  </si>
  <si>
    <t xml:space="preserve">3PA</t>
  </si>
  <si>
    <t xml:space="preserve">FTM</t>
  </si>
  <si>
    <t xml:space="preserve">FTA</t>
  </si>
  <si>
    <t xml:space="preserve">OREB</t>
  </si>
  <si>
    <t xml:space="preserve">DREB</t>
  </si>
  <si>
    <t xml:space="preserve">AST</t>
  </si>
  <si>
    <t xml:space="preserve">STL</t>
  </si>
  <si>
    <t xml:space="preserve">BLK</t>
  </si>
  <si>
    <t xml:space="preserve">TOV</t>
  </si>
  <si>
    <t xml:space="preserve">PF</t>
  </si>
  <si>
    <t xml:space="preserve">HVP</t>
  </si>
  <si>
    <t xml:space="preserve">Q1</t>
  </si>
  <si>
    <t xml:space="preserve">0:06</t>
  </si>
  <si>
    <t xml:space="preserve">Mathias Schertzer</t>
  </si>
  <si>
    <t xml:space="preserve">[top line cut off by scan] … MADE &amp; PAINT TOUCH BEFORE</t>
  </si>
  <si>
    <t xml:space="preserve">2PT make</t>
  </si>
  <si>
    <t xml:space="preserve">PAINT TOUCH BEFORE</t>
  </si>
  <si>
    <t xml:space="preserve">Paint touch</t>
  </si>
  <si>
    <t xml:space="preserve">Enrique Garcia</t>
  </si>
  <si>
    <t xml:space="preserve">ASSIST</t>
  </si>
  <si>
    <t xml:space="preserve">Assist</t>
  </si>
  <si>
    <t xml:space="preserve">RIGHT READ</t>
  </si>
  <si>
    <t xml:space="preserve">Right read</t>
  </si>
  <si>
    <t xml:space="preserve">0:15</t>
  </si>
  <si>
    <t xml:space="preserve">Isaak Moore</t>
  </si>
  <si>
    <t xml:space="preserve">YOU</t>
  </si>
  <si>
    <t xml:space="preserve">Written as :015</t>
  </si>
  <si>
    <t xml:space="preserve">0:45</t>
  </si>
  <si>
    <t xml:space="preserve">Lamine Conde</t>
  </si>
  <si>
    <t xml:space="preserve">MISSED 2 &amp; PAINT TOUCH BEFORE</t>
  </si>
  <si>
    <t xml:space="preserve">2PT miss</t>
  </si>
  <si>
    <t xml:space="preserve">(paint touch before)</t>
  </si>
  <si>
    <t xml:space="preserve">0:50</t>
  </si>
  <si>
    <t xml:space="preserve">Tylen Lewis</t>
  </si>
  <si>
    <t xml:space="preserve">TIP</t>
  </si>
  <si>
    <t xml:space="preserve">Tip</t>
  </si>
  <si>
    <t xml:space="preserve">1:17</t>
  </si>
  <si>
    <t xml:space="preserve">MISSED THREE</t>
  </si>
  <si>
    <t xml:space="preserve">3PT miss</t>
  </si>
  <si>
    <t xml:space="preserve">1:25</t>
  </si>
  <si>
    <t xml:space="preserve">WALL UP</t>
  </si>
  <si>
    <t xml:space="preserve">WallUp</t>
  </si>
  <si>
    <t xml:space="preserve">2:36</t>
  </si>
  <si>
    <t xml:space="preserve">2:41</t>
  </si>
  <si>
    <t xml:space="preserve">PAINT TOUCH</t>
  </si>
  <si>
    <t xml:space="preserve">2:45</t>
  </si>
  <si>
    <t xml:space="preserve">UPCYCLE</t>
  </si>
  <si>
    <t xml:space="preserve">Upcycle</t>
  </si>
  <si>
    <t xml:space="preserve">2:48</t>
  </si>
  <si>
    <t xml:space="preserve">2:51</t>
  </si>
  <si>
    <t xml:space="preserve">MISSED 3 + RIGHT READ</t>
  </si>
  <si>
    <t xml:space="preserve">(+ right read)</t>
  </si>
  <si>
    <t xml:space="preserve">2:53</t>
  </si>
  <si>
    <t xml:space="preserve">PURSUIT</t>
  </si>
  <si>
    <t xml:space="preserve">Pursuit</t>
  </si>
  <si>
    <t xml:space="preserve">3:33</t>
  </si>
  <si>
    <t xml:space="preserve">3:34</t>
  </si>
  <si>
    <t xml:space="preserve">4:00</t>
  </si>
  <si>
    <t xml:space="preserve">MISSED TWO</t>
  </si>
  <si>
    <t xml:space="preserve">4:03</t>
  </si>
  <si>
    <t xml:space="preserve">4:14</t>
  </si>
  <si>
    <t xml:space="preserve">D-BOARD</t>
  </si>
  <si>
    <t xml:space="preserve">Def. rebound</t>
  </si>
  <si>
    <t xml:space="preserve">4:20</t>
  </si>
  <si>
    <t xml:space="preserve">PAINT TOUCH IN 6</t>
  </si>
  <si>
    <t xml:space="preserve">Paint touch in 6</t>
  </si>
  <si>
    <t xml:space="preserve">4:24</t>
  </si>
  <si>
    <t xml:space="preserve">TURNOVER</t>
  </si>
  <si>
    <t xml:space="preserve">Turnover (type not given)</t>
  </si>
  <si>
    <t xml:space="preserve">Turnover type not written</t>
  </si>
  <si>
    <t xml:space="preserve">4:57</t>
  </si>
  <si>
    <t xml:space="preserve">Michael Adarkwah Nti</t>
  </si>
  <si>
    <t xml:space="preserve">4:58</t>
  </si>
  <si>
    <t xml:space="preserve">4:59</t>
  </si>
  <si>
    <t xml:space="preserve">5:00</t>
  </si>
  <si>
    <t xml:space="preserve">MADE 2</t>
  </si>
  <si>
    <t xml:space="preserve">5:11</t>
  </si>
  <si>
    <t xml:space="preserve">5:15</t>
  </si>
  <si>
    <t xml:space="preserve">5:20</t>
  </si>
  <si>
    <t xml:space="preserve">5:40</t>
  </si>
  <si>
    <t xml:space="preserve">5:44</t>
  </si>
  <si>
    <t xml:space="preserve">5:46</t>
  </si>
  <si>
    <t xml:space="preserve">7:42</t>
  </si>
  <si>
    <t xml:space="preserve">UPCYCLE or RIGHT READ</t>
  </si>
  <si>
    <t xml:space="preserve">7:43</t>
  </si>
  <si>
    <t xml:space="preserve">8:12</t>
  </si>
  <si>
    <t xml:space="preserve">Anthony Brady</t>
  </si>
  <si>
    <t xml:space="preserve">8:14</t>
  </si>
  <si>
    <t xml:space="preserve">A name before Anthony is crossed out</t>
  </si>
  <si>
    <t xml:space="preserve">O-BOARD</t>
  </si>
  <si>
    <t xml:space="preserve">Off. rebound</t>
  </si>
  <si>
    <t xml:space="preserve">8:17</t>
  </si>
  <si>
    <t xml:space="preserve">8:19</t>
  </si>
  <si>
    <t xml:space="preserve">8:20</t>
  </si>
  <si>
    <t xml:space="preserve">8:21</t>
  </si>
  <si>
    <t xml:space="preserve">8:40</t>
  </si>
  <si>
    <t xml:space="preserve">MADE FT</t>
  </si>
  <si>
    <t xml:space="preserve">FT make</t>
  </si>
  <si>
    <t xml:space="preserve">8:53</t>
  </si>
  <si>
    <t xml:space="preserve">MADE FT (missed FT crossed out)</t>
  </si>
  <si>
    <t xml:space="preserve">Corrected in the notes from missed FT to made FT</t>
  </si>
  <si>
    <t xml:space="preserve">9:02</t>
  </si>
  <si>
    <t xml:space="preserve">9:26</t>
  </si>
  <si>
    <t xml:space="preserve">9:27</t>
  </si>
  <si>
    <t xml:space="preserve">9:30</t>
  </si>
  <si>
    <t xml:space="preserve">10:06</t>
  </si>
  <si>
    <t xml:space="preserve">10:23</t>
  </si>
  <si>
    <t xml:space="preserve">Ty Lockwood</t>
  </si>
  <si>
    <t xml:space="preserve">STEAL</t>
  </si>
  <si>
    <t xml:space="preserve">Steal</t>
  </si>
  <si>
    <t xml:space="preserve">Another name crossed out; Ty written over it</t>
  </si>
  <si>
    <t xml:space="preserve">10:28</t>
  </si>
  <si>
    <t xml:space="preserve">DOUBLE DRIBBLE TO</t>
  </si>
  <si>
    <t xml:space="preserve">Turnover (Violation, Dead)</t>
  </si>
  <si>
    <t xml:space="preserve">10:50</t>
  </si>
  <si>
    <t xml:space="preserve">10:51</t>
  </si>
  <si>
    <t xml:space="preserve">10:52</t>
  </si>
  <si>
    <t xml:space="preserve">11:12</t>
  </si>
  <si>
    <t xml:space="preserve">11:16</t>
  </si>
  <si>
    <t xml:space="preserve">11:20</t>
  </si>
  <si>
    <t xml:space="preserve">11:22</t>
  </si>
  <si>
    <t xml:space="preserve">11:37</t>
  </si>
  <si>
    <t xml:space="preserve">Will Zylyk</t>
  </si>
  <si>
    <t xml:space="preserve">11:43</t>
  </si>
  <si>
    <t xml:space="preserve">12:00</t>
  </si>
  <si>
    <t xml:space="preserve">12:24</t>
  </si>
  <si>
    <t xml:space="preserve">12:32</t>
  </si>
  <si>
    <t xml:space="preserve">12:36</t>
  </si>
  <si>
    <t xml:space="preserve">13:03</t>
  </si>
  <si>
    <t xml:space="preserve">MISSED 3</t>
  </si>
  <si>
    <t xml:space="preserve">13:06</t>
  </si>
  <si>
    <t xml:space="preserve">13:07</t>
  </si>
  <si>
    <t xml:space="preserve">Tarun Saroya</t>
  </si>
  <si>
    <t xml:space="preserve">13:08</t>
  </si>
  <si>
    <t xml:space="preserve">TO</t>
  </si>
  <si>
    <t xml:space="preserve">13:14</t>
  </si>
  <si>
    <t xml:space="preserve">DEFLECTION</t>
  </si>
  <si>
    <t xml:space="preserve">14:08</t>
  </si>
  <si>
    <t xml:space="preserve">DEFLECTION (TIP crossed out)</t>
  </si>
  <si>
    <t xml:space="preserve">14:29</t>
  </si>
  <si>
    <t xml:space="preserve">14:32</t>
  </si>
  <si>
    <t xml:space="preserve">MISSED 2</t>
  </si>
  <si>
    <t xml:space="preserve">14:49</t>
  </si>
  <si>
    <t xml:space="preserve">15:04</t>
  </si>
  <si>
    <t xml:space="preserve">16:11</t>
  </si>
  <si>
    <t xml:space="preserve">16:50</t>
  </si>
  <si>
    <t xml:space="preserve">16:51</t>
  </si>
  <si>
    <t xml:space="preserve">Turnover type not written. First digits smudged; read as 16:51</t>
  </si>
  <si>
    <t xml:space="preserve">17:23</t>
  </si>
  <si>
    <t xml:space="preserve">Dom Zaino</t>
  </si>
  <si>
    <t xml:space="preserve">17:31</t>
  </si>
  <si>
    <t xml:space="preserve">PULL UP 3. MISS</t>
  </si>
  <si>
    <t xml:space="preserve">3PT miss (Off-dribble 3, Bronze)</t>
  </si>
  <si>
    <t xml:space="preserve">18:56</t>
  </si>
  <si>
    <t xml:space="preserve">19:00</t>
  </si>
  <si>
    <t xml:space="preserve">CORNER 3 MISS</t>
  </si>
  <si>
    <t xml:space="preserve">Shot type not graded: say catch and shoot or off the dribble if you know</t>
  </si>
  <si>
    <t xml:space="preserve">19:03</t>
  </si>
  <si>
    <t xml:space="preserve">19:07</t>
  </si>
  <si>
    <t xml:space="preserve">BLOCK</t>
  </si>
  <si>
    <t xml:space="preserve">Block</t>
  </si>
  <si>
    <t xml:space="preserve">19:13</t>
  </si>
  <si>
    <t xml:space="preserve">19:15</t>
  </si>
  <si>
    <t xml:space="preserve">19:16</t>
  </si>
  <si>
    <t xml:space="preserve">19:32</t>
  </si>
  <si>
    <t xml:space="preserve">Q2</t>
  </si>
  <si>
    <t xml:space="preserve">22:57</t>
  </si>
  <si>
    <t xml:space="preserve">Q2 starts here in the notes. A crossed-out 22:58 line follows.</t>
  </si>
  <si>
    <t xml:space="preserve">23:17</t>
  </si>
  <si>
    <t xml:space="preserve">23:31</t>
  </si>
  <si>
    <t xml:space="preserve">MISSED FT</t>
  </si>
  <si>
    <t xml:space="preserve">FT miss</t>
  </si>
  <si>
    <t xml:space="preserve">23:57</t>
  </si>
  <si>
    <t xml:space="preserve">PT</t>
  </si>
  <si>
    <t xml:space="preserve">MISSED 2 PT</t>
  </si>
  <si>
    <t xml:space="preserve">24:00</t>
  </si>
  <si>
    <t xml:space="preserve">24:04</t>
  </si>
  <si>
    <t xml:space="preserve">24:12</t>
  </si>
  <si>
    <t xml:space="preserve">24:13</t>
  </si>
  <si>
    <t xml:space="preserve">24:56</t>
  </si>
  <si>
    <t xml:space="preserve">UPCYCLE (RIGHT READ crossed out)</t>
  </si>
  <si>
    <t xml:space="preserve">24:58</t>
  </si>
  <si>
    <t xml:space="preserve">MISSED 2 PT JUMPER</t>
  </si>
  <si>
    <t xml:space="preserve">2PT miss (Mid-range, Bronze)</t>
  </si>
  <si>
    <t xml:space="preserve">26:18</t>
  </si>
  <si>
    <t xml:space="preserve">26:39</t>
  </si>
  <si>
    <t xml:space="preserve">26:40</t>
  </si>
  <si>
    <t xml:space="preserve">2 PT MAKE</t>
  </si>
  <si>
    <t xml:space="preserve">26:55</t>
  </si>
  <si>
    <t xml:space="preserve">26:59</t>
  </si>
  <si>
    <t xml:space="preserve">TO PASS</t>
  </si>
  <si>
    <t xml:space="preserve">Turnover (Passing)</t>
  </si>
  <si>
    <t xml:space="preserve">27:27</t>
  </si>
  <si>
    <t xml:space="preserve">27:37</t>
  </si>
  <si>
    <t xml:space="preserve">FOULS</t>
  </si>
  <si>
    <t xml:space="preserve">Foul</t>
  </si>
  <si>
    <t xml:space="preserve">29:15</t>
  </si>
  <si>
    <t xml:space="preserve">29:30</t>
  </si>
  <si>
    <t xml:space="preserve">29:41</t>
  </si>
  <si>
    <t xml:space="preserve">29:49</t>
  </si>
  <si>
    <t xml:space="preserve">30:30</t>
  </si>
  <si>
    <t xml:space="preserve">30:32</t>
  </si>
  <si>
    <t xml:space="preserve">30:33</t>
  </si>
  <si>
    <t xml:space="preserve">30:36</t>
  </si>
  <si>
    <t xml:space="preserve">30:37</t>
  </si>
  <si>
    <t xml:space="preserve">30:55</t>
  </si>
  <si>
    <t xml:space="preserve">32:52</t>
  </si>
  <si>
    <t xml:space="preserve">32:54</t>
  </si>
  <si>
    <t xml:space="preserve">32:56</t>
  </si>
  <si>
    <t xml:space="preserve">DBOARD &amp; PURSUIT ?</t>
  </si>
  <si>
    <t xml:space="preserve">(&amp; pursuit ?)</t>
  </si>
  <si>
    <t xml:space="preserve">32:58</t>
  </si>
  <si>
    <t xml:space="preserve">TURNOVER PASS</t>
  </si>
  <si>
    <t xml:space="preserve">33:13</t>
  </si>
  <si>
    <t xml:space="preserve">33:16</t>
  </si>
  <si>
    <t xml:space="preserve">Read as 33:16</t>
  </si>
  <si>
    <t xml:space="preserve">33:18</t>
  </si>
  <si>
    <t xml:space="preserve">MISSED CORNER 3</t>
  </si>
  <si>
    <t xml:space="preserve">Shot type not graded</t>
  </si>
  <si>
    <t xml:space="preserve">33:27</t>
  </si>
  <si>
    <t xml:space="preserve">33:30</t>
  </si>
  <si>
    <t xml:space="preserve">Turnover type not written. Read as 33:30</t>
  </si>
  <si>
    <t xml:space="preserve">34:32</t>
  </si>
  <si>
    <t xml:space="preserve">FT MADE</t>
  </si>
  <si>
    <t xml:space="preserve">34:44</t>
  </si>
  <si>
    <t xml:space="preserve">FT MISS</t>
  </si>
  <si>
    <t xml:space="preserve">35:34</t>
  </si>
  <si>
    <t xml:space="preserve">MADE WING 3</t>
  </si>
  <si>
    <t xml:space="preserve">3PT make</t>
  </si>
  <si>
    <t xml:space="preserve">TY LOCKWOOD ASSIST</t>
  </si>
  <si>
    <t xml:space="preserve">35:57</t>
  </si>
  <si>
    <t xml:space="preserve">TO PASS PICKED OFF</t>
  </si>
  <si>
    <t xml:space="preserve">Turnover (Passing, Live)</t>
  </si>
  <si>
    <t xml:space="preserve">36:03</t>
  </si>
  <si>
    <t xml:space="preserve">36:44</t>
  </si>
  <si>
    <t xml:space="preserve">37:29</t>
  </si>
  <si>
    <t xml:space="preserve">37:30</t>
  </si>
  <si>
    <t xml:space="preserve">37:32</t>
  </si>
  <si>
    <t xml:space="preserve">37:33</t>
  </si>
  <si>
    <t xml:space="preserve">MISSED 2 PT FLOATER</t>
  </si>
  <si>
    <t xml:space="preserve">2PT miss (Floater, Bronze)</t>
  </si>
  <si>
    <t xml:space="preserve">37:40</t>
  </si>
  <si>
    <t xml:space="preserve">TIP / DEFLECTION, POSSIBLE BLOCK</t>
  </si>
  <si>
    <t xml:space="preserve">37:50</t>
  </si>
  <si>
    <t xml:space="preserve">Ariel Tsaiger</t>
  </si>
  <si>
    <t xml:space="preserve">37:54</t>
  </si>
  <si>
    <t xml:space="preserve">PT IN 6</t>
  </si>
  <si>
    <t xml:space="preserve">38:00</t>
  </si>
  <si>
    <t xml:space="preserve">38:30</t>
  </si>
  <si>
    <t xml:space="preserve">38:34</t>
  </si>
  <si>
    <t xml:space="preserve">38:36</t>
  </si>
  <si>
    <t xml:space="preserve">MADE 2 PT JUMPER</t>
  </si>
  <si>
    <t xml:space="preserve">2PT make (Mid-range, Bronze)</t>
  </si>
  <si>
    <t xml:space="preserve">38:38</t>
  </si>
  <si>
    <t xml:space="preserve">39:02</t>
  </si>
  <si>
    <t xml:space="preserve">39:04</t>
  </si>
  <si>
    <t xml:space="preserve">MADE 2 PT LAYUP</t>
  </si>
  <si>
    <t xml:space="preserve">2PT make (Layup, Gold)</t>
  </si>
  <si>
    <t xml:space="preserve">39:57</t>
  </si>
  <si>
    <t xml:space="preserve">40:46</t>
  </si>
  <si>
    <t xml:space="preserve">TO PASS LIVE</t>
  </si>
  <si>
    <t xml:space="preserve">40:52</t>
  </si>
  <si>
    <t xml:space="preserve">BLOCK ?</t>
  </si>
  <si>
    <t xml:space="preserve">41:00</t>
  </si>
  <si>
    <t xml:space="preserve">41:02</t>
  </si>
  <si>
    <t xml:space="preserve">41:04</t>
  </si>
  <si>
    <t xml:space="preserve">MISSED WING 3</t>
  </si>
  <si>
    <t xml:space="preserve">41:37</t>
  </si>
  <si>
    <t xml:space="preserve">41:40</t>
  </si>
  <si>
    <t xml:space="preserve">41:41</t>
  </si>
  <si>
    <t xml:space="preserve">MISSED 2 PT LAYUP</t>
  </si>
  <si>
    <t xml:space="preserve">2PT miss (Layup, Gold)</t>
  </si>
  <si>
    <t xml:space="preserve">41:49</t>
  </si>
  <si>
    <t xml:space="preserve">41:57</t>
  </si>
  <si>
    <t xml:space="preserve">UPCYCLE (ISAAK crossed out)</t>
  </si>
  <si>
    <t xml:space="preserve">41:59</t>
  </si>
  <si>
    <t xml:space="preserve">MADE TOP 3</t>
  </si>
  <si>
    <t xml:space="preserve">42:15</t>
  </si>
  <si>
    <t xml:space="preserve">43:36</t>
  </si>
  <si>
    <t xml:space="preserve">43:54</t>
  </si>
  <si>
    <t xml:space="preserve">44:10</t>
  </si>
  <si>
    <t xml:space="preserve">44:13</t>
  </si>
  <si>
    <t xml:space="preserve">44:14</t>
  </si>
  <si>
    <t xml:space="preserve">Player totals from the master list (formulas)</t>
  </si>
  <si>
    <t xml:space="preserve">EFF = PTS + REB + AST + STL + BLK − missed FG − missed FT − TOV. Combined = EFF + HVP × 1/3 (steals, blocks and offensive rebounds count as HVP automatically).</t>
  </si>
  <si>
    <t xml:space="preserve">REB</t>
  </si>
  <si>
    <t xml:space="preserve">EFF</t>
  </si>
  <si>
    <t xml:space="preserve">Raw HVP</t>
  </si>
  <si>
    <t xml:space="preserve">Adj HVP</t>
  </si>
  <si>
    <t xml:space="preserve">Combined</t>
  </si>
  <si>
    <t xml:space="preserve">Team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</si>
</sst>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;\-0;&quot;&quot;"/>
    <numFmt numFmtId="166" formatCode="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D66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3A"/>
        <bgColor rgb="FF003366"/>
      </patternFill>
    </fill>
    <fill>
      <patternFill patternType="solid">
        <fgColor rgb="FFFFF2B3"/>
        <bgColor rgb="FFFFFF99"/>
      </patternFill>
    </fill>
    <fill>
      <patternFill patternType="solid">
        <fgColor rgb="FFA8431C"/>
        <bgColor rgb="FF993366"/>
      </patternFill>
    </fill>
    <fill>
      <patternFill patternType="solid">
        <fgColor rgb="FFEEF1F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3A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EE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670"/>
      <rgbColor rgb="FF969696"/>
      <rgbColor rgb="FF003366"/>
      <rgbColor rgb="FF339966"/>
      <rgbColor rgb="FF003300"/>
      <rgbColor rgb="FF333300"/>
      <rgbColor rgb="FFA8431C"/>
      <rgbColor rgb="FF993366"/>
      <rgbColor rgb="FF333399"/>
      <rgbColor rgb="FF1B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lays" displayName="Plays" ref="A3:W185" headerRowCount="1" totalsRowCount="0" totalsRowShown="0">
  <autoFilter ref="A3:W185"/>
  <tableColumns count="23">
    <tableColumn id="1" name="#"/>
    <tableColumn id="2" name="Page"/>
    <tableColumn id="3" name="Period"/>
    <tableColumn id="4" name="Video time"/>
    <tableColumn id="5" name="Player"/>
    <tableColumn id="6" name="As written in the notes"/>
    <tableColumn id="7" name="Booked as"/>
    <tableColumn id="8" name="Check"/>
    <tableColumn id="9" name="PTS"/>
    <tableColumn id="10" name="FGM"/>
    <tableColumn id="11" name="FGA"/>
    <tableColumn id="12" name="3PM"/>
    <tableColumn id="13" name="3PA"/>
    <tableColumn id="14" name="FTM"/>
    <tableColumn id="15" name="FTA"/>
    <tableColumn id="16" name="OREB"/>
    <tableColumn id="17" name="DREB"/>
    <tableColumn id="18" name="AST"/>
    <tableColumn id="19" name="STL"/>
    <tableColumn id="20" name="BLK"/>
    <tableColumn id="21" name="TOV"/>
    <tableColumn id="22" name="PF"/>
    <tableColumn id="23" name="HV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46"/>
    <col collapsed="false" customWidth="true" hidden="false" outlineLevel="0" max="23" min="9" style="0" width="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52.2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customFormat="false" ht="23.85" hidden="false" customHeight="false" outlineLevel="0" collapsed="false">
      <c r="A4" s="4" t="n">
        <v>1</v>
      </c>
      <c r="B4" s="4" t="n">
        <v>1</v>
      </c>
      <c r="C4" s="4" t="s">
        <v>25</v>
      </c>
      <c r="D4" s="4" t="s">
        <v>26</v>
      </c>
      <c r="E4" s="4" t="s">
        <v>27</v>
      </c>
      <c r="F4" s="5" t="s">
        <v>28</v>
      </c>
      <c r="G4" s="5" t="s">
        <v>29</v>
      </c>
      <c r="H4" s="5"/>
      <c r="I4" s="6" t="n">
        <v>2</v>
      </c>
      <c r="J4" s="6" t="n">
        <v>1</v>
      </c>
      <c r="K4" s="6" t="n">
        <v>1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</row>
    <row r="5" customFormat="false" ht="15" hidden="false" customHeight="false" outlineLevel="0" collapsed="false">
      <c r="A5" s="4" t="n">
        <v>2</v>
      </c>
      <c r="B5" s="4" t="n">
        <v>1</v>
      </c>
      <c r="C5" s="4" t="s">
        <v>25</v>
      </c>
      <c r="D5" s="4" t="s">
        <v>26</v>
      </c>
      <c r="E5" s="4" t="s">
        <v>27</v>
      </c>
      <c r="F5" s="5" t="s">
        <v>30</v>
      </c>
      <c r="G5" s="5" t="s">
        <v>31</v>
      </c>
      <c r="H5" s="5"/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2</v>
      </c>
    </row>
    <row r="6" customFormat="false" ht="15" hidden="false" customHeight="false" outlineLevel="0" collapsed="false">
      <c r="A6" s="4" t="n">
        <v>3</v>
      </c>
      <c r="B6" s="4" t="n">
        <v>1</v>
      </c>
      <c r="C6" s="4" t="s">
        <v>25</v>
      </c>
      <c r="D6" s="4" t="s">
        <v>26</v>
      </c>
      <c r="E6" s="4" t="s">
        <v>32</v>
      </c>
      <c r="F6" s="5" t="s">
        <v>33</v>
      </c>
      <c r="G6" s="5" t="s">
        <v>34</v>
      </c>
      <c r="H6" s="5"/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</row>
    <row r="7" customFormat="false" ht="15" hidden="false" customHeight="false" outlineLevel="0" collapsed="false">
      <c r="A7" s="4" t="n">
        <v>4</v>
      </c>
      <c r="B7" s="4" t="n">
        <v>1</v>
      </c>
      <c r="C7" s="4" t="s">
        <v>25</v>
      </c>
      <c r="D7" s="4" t="s">
        <v>26</v>
      </c>
      <c r="E7" s="4" t="s">
        <v>32</v>
      </c>
      <c r="F7" s="5" t="s">
        <v>35</v>
      </c>
      <c r="G7" s="5" t="s">
        <v>36</v>
      </c>
      <c r="H7" s="5"/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1</v>
      </c>
    </row>
    <row r="8" customFormat="false" ht="15" hidden="false" customHeight="false" outlineLevel="0" collapsed="false">
      <c r="A8" s="7" t="n">
        <v>5</v>
      </c>
      <c r="B8" s="7" t="n">
        <v>1</v>
      </c>
      <c r="C8" s="7" t="s">
        <v>25</v>
      </c>
      <c r="D8" s="7" t="s">
        <v>37</v>
      </c>
      <c r="E8" s="7" t="s">
        <v>38</v>
      </c>
      <c r="F8" s="8" t="s">
        <v>39</v>
      </c>
      <c r="G8" s="8" t="s">
        <v>39</v>
      </c>
      <c r="H8" s="8" t="s">
        <v>40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1</v>
      </c>
    </row>
    <row r="9" customFormat="false" ht="15" hidden="false" customHeight="false" outlineLevel="0" collapsed="false">
      <c r="A9" s="4" t="n">
        <v>6</v>
      </c>
      <c r="B9" s="4" t="n">
        <v>1</v>
      </c>
      <c r="C9" s="4" t="s">
        <v>25</v>
      </c>
      <c r="D9" s="4" t="s">
        <v>41</v>
      </c>
      <c r="E9" s="4" t="s">
        <v>42</v>
      </c>
      <c r="F9" s="5" t="s">
        <v>43</v>
      </c>
      <c r="G9" s="5" t="s">
        <v>44</v>
      </c>
      <c r="H9" s="5"/>
      <c r="I9" s="6" t="n">
        <v>0</v>
      </c>
      <c r="J9" s="6" t="n">
        <v>0</v>
      </c>
      <c r="K9" s="6" t="n">
        <v>1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</row>
    <row r="10" customFormat="false" ht="15" hidden="false" customHeight="false" outlineLevel="0" collapsed="false">
      <c r="A10" s="4" t="n">
        <v>7</v>
      </c>
      <c r="B10" s="4" t="n">
        <v>1</v>
      </c>
      <c r="C10" s="4" t="s">
        <v>25</v>
      </c>
      <c r="D10" s="4" t="s">
        <v>41</v>
      </c>
      <c r="E10" s="4" t="s">
        <v>42</v>
      </c>
      <c r="F10" s="5" t="s">
        <v>45</v>
      </c>
      <c r="G10" s="5" t="s">
        <v>31</v>
      </c>
      <c r="H10" s="5"/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2</v>
      </c>
    </row>
    <row r="11" customFormat="false" ht="15" hidden="false" customHeight="false" outlineLevel="0" collapsed="false">
      <c r="A11" s="4" t="n">
        <v>8</v>
      </c>
      <c r="B11" s="4" t="n">
        <v>1</v>
      </c>
      <c r="C11" s="4" t="s">
        <v>25</v>
      </c>
      <c r="D11" s="4" t="s">
        <v>46</v>
      </c>
      <c r="E11" s="4" t="s">
        <v>47</v>
      </c>
      <c r="F11" s="5" t="s">
        <v>48</v>
      </c>
      <c r="G11" s="5" t="s">
        <v>49</v>
      </c>
      <c r="H11" s="5"/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1</v>
      </c>
    </row>
    <row r="12" customFormat="false" ht="15" hidden="false" customHeight="false" outlineLevel="0" collapsed="false">
      <c r="A12" s="4" t="n">
        <v>9</v>
      </c>
      <c r="B12" s="4" t="n">
        <v>1</v>
      </c>
      <c r="C12" s="4" t="s">
        <v>25</v>
      </c>
      <c r="D12" s="4" t="s">
        <v>50</v>
      </c>
      <c r="E12" s="4" t="s">
        <v>38</v>
      </c>
      <c r="F12" s="5" t="s">
        <v>51</v>
      </c>
      <c r="G12" s="5" t="s">
        <v>52</v>
      </c>
      <c r="H12" s="5"/>
      <c r="I12" s="6" t="n">
        <v>0</v>
      </c>
      <c r="J12" s="6" t="n">
        <v>0</v>
      </c>
      <c r="K12" s="6" t="n">
        <v>1</v>
      </c>
      <c r="L12" s="6" t="n">
        <v>0</v>
      </c>
      <c r="M12" s="6" t="n">
        <v>1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</row>
    <row r="13" customFormat="false" ht="15" hidden="false" customHeight="false" outlineLevel="0" collapsed="false">
      <c r="A13" s="4" t="n">
        <v>10</v>
      </c>
      <c r="B13" s="4" t="n">
        <v>1</v>
      </c>
      <c r="C13" s="4" t="s">
        <v>25</v>
      </c>
      <c r="D13" s="4" t="s">
        <v>53</v>
      </c>
      <c r="E13" s="4" t="s">
        <v>32</v>
      </c>
      <c r="F13" s="5" t="s">
        <v>54</v>
      </c>
      <c r="G13" s="5" t="s">
        <v>55</v>
      </c>
      <c r="H13" s="5"/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1</v>
      </c>
    </row>
    <row r="14" customFormat="false" ht="15" hidden="false" customHeight="false" outlineLevel="0" collapsed="false">
      <c r="A14" s="4" t="n">
        <v>11</v>
      </c>
      <c r="B14" s="4" t="n">
        <v>1</v>
      </c>
      <c r="C14" s="4" t="s">
        <v>25</v>
      </c>
      <c r="D14" s="4" t="s">
        <v>56</v>
      </c>
      <c r="E14" s="4" t="s">
        <v>32</v>
      </c>
      <c r="F14" s="5" t="s">
        <v>35</v>
      </c>
      <c r="G14" s="5" t="s">
        <v>36</v>
      </c>
      <c r="H14" s="5"/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1</v>
      </c>
    </row>
    <row r="15" customFormat="false" ht="15" hidden="false" customHeight="false" outlineLevel="0" collapsed="false">
      <c r="A15" s="4" t="n">
        <v>12</v>
      </c>
      <c r="B15" s="4" t="n">
        <v>1</v>
      </c>
      <c r="C15" s="4" t="s">
        <v>25</v>
      </c>
      <c r="D15" s="4" t="s">
        <v>57</v>
      </c>
      <c r="E15" s="4" t="s">
        <v>42</v>
      </c>
      <c r="F15" s="5" t="s">
        <v>58</v>
      </c>
      <c r="G15" s="5" t="s">
        <v>31</v>
      </c>
      <c r="H15" s="5"/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2</v>
      </c>
    </row>
    <row r="16" customFormat="false" ht="15" hidden="false" customHeight="false" outlineLevel="0" collapsed="false">
      <c r="A16" s="4" t="n">
        <v>13</v>
      </c>
      <c r="B16" s="4" t="n">
        <v>1</v>
      </c>
      <c r="C16" s="4" t="s">
        <v>25</v>
      </c>
      <c r="D16" s="4" t="s">
        <v>59</v>
      </c>
      <c r="E16" s="4" t="s">
        <v>42</v>
      </c>
      <c r="F16" s="5" t="s">
        <v>60</v>
      </c>
      <c r="G16" s="5" t="s">
        <v>61</v>
      </c>
      <c r="H16" s="5"/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1</v>
      </c>
    </row>
    <row r="17" customFormat="false" ht="15" hidden="false" customHeight="false" outlineLevel="0" collapsed="false">
      <c r="A17" s="4" t="n">
        <v>14</v>
      </c>
      <c r="B17" s="4" t="n">
        <v>1</v>
      </c>
      <c r="C17" s="4" t="s">
        <v>25</v>
      </c>
      <c r="D17" s="4" t="s">
        <v>62</v>
      </c>
      <c r="E17" s="4" t="s">
        <v>38</v>
      </c>
      <c r="F17" s="5" t="s">
        <v>60</v>
      </c>
      <c r="G17" s="5" t="s">
        <v>61</v>
      </c>
      <c r="H17" s="5"/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1</v>
      </c>
    </row>
    <row r="18" customFormat="false" ht="15" hidden="false" customHeight="false" outlineLevel="0" collapsed="false">
      <c r="A18" s="4" t="n">
        <v>15</v>
      </c>
      <c r="B18" s="4" t="n">
        <v>1</v>
      </c>
      <c r="C18" s="4" t="s">
        <v>25</v>
      </c>
      <c r="D18" s="4" t="s">
        <v>63</v>
      </c>
      <c r="E18" s="4" t="s">
        <v>42</v>
      </c>
      <c r="F18" s="5" t="s">
        <v>64</v>
      </c>
      <c r="G18" s="5" t="s">
        <v>52</v>
      </c>
      <c r="H18" s="5"/>
      <c r="I18" s="6" t="n">
        <v>0</v>
      </c>
      <c r="J18" s="6" t="n">
        <v>0</v>
      </c>
      <c r="K18" s="6" t="n">
        <v>1</v>
      </c>
      <c r="L18" s="6" t="n">
        <v>0</v>
      </c>
      <c r="M18" s="6" t="n">
        <v>1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</row>
    <row r="19" customFormat="false" ht="15" hidden="false" customHeight="false" outlineLevel="0" collapsed="false">
      <c r="A19" s="4" t="n">
        <v>16</v>
      </c>
      <c r="B19" s="4" t="n">
        <v>1</v>
      </c>
      <c r="C19" s="4" t="s">
        <v>25</v>
      </c>
      <c r="D19" s="4" t="s">
        <v>63</v>
      </c>
      <c r="E19" s="4" t="s">
        <v>42</v>
      </c>
      <c r="F19" s="5" t="s">
        <v>65</v>
      </c>
      <c r="G19" s="5" t="s">
        <v>36</v>
      </c>
      <c r="H19" s="5"/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1</v>
      </c>
    </row>
    <row r="20" customFormat="false" ht="15" hidden="false" customHeight="false" outlineLevel="0" collapsed="false">
      <c r="A20" s="4" t="n">
        <v>17</v>
      </c>
      <c r="B20" s="4" t="n">
        <v>1</v>
      </c>
      <c r="C20" s="4" t="s">
        <v>25</v>
      </c>
      <c r="D20" s="4" t="s">
        <v>66</v>
      </c>
      <c r="E20" s="4" t="s">
        <v>32</v>
      </c>
      <c r="F20" s="5" t="s">
        <v>67</v>
      </c>
      <c r="G20" s="5" t="s">
        <v>68</v>
      </c>
      <c r="H20" s="5"/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2</v>
      </c>
    </row>
    <row r="21" customFormat="false" ht="15" hidden="false" customHeight="false" outlineLevel="0" collapsed="false">
      <c r="A21" s="4" t="n">
        <v>18</v>
      </c>
      <c r="B21" s="4" t="n">
        <v>1</v>
      </c>
      <c r="C21" s="4" t="s">
        <v>25</v>
      </c>
      <c r="D21" s="4" t="s">
        <v>69</v>
      </c>
      <c r="E21" s="4" t="s">
        <v>27</v>
      </c>
      <c r="F21" s="5" t="s">
        <v>35</v>
      </c>
      <c r="G21" s="5" t="s">
        <v>36</v>
      </c>
      <c r="H21" s="5"/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1</v>
      </c>
    </row>
    <row r="22" customFormat="false" ht="15" hidden="false" customHeight="false" outlineLevel="0" collapsed="false">
      <c r="A22" s="4" t="n">
        <v>19</v>
      </c>
      <c r="B22" s="4" t="n">
        <v>1</v>
      </c>
      <c r="C22" s="4" t="s">
        <v>25</v>
      </c>
      <c r="D22" s="4" t="s">
        <v>70</v>
      </c>
      <c r="E22" s="4" t="s">
        <v>47</v>
      </c>
      <c r="F22" s="5" t="s">
        <v>58</v>
      </c>
      <c r="G22" s="5" t="s">
        <v>31</v>
      </c>
      <c r="H22" s="5"/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2</v>
      </c>
    </row>
    <row r="23" customFormat="false" ht="15" hidden="false" customHeight="false" outlineLevel="0" collapsed="false">
      <c r="A23" s="4" t="n">
        <v>20</v>
      </c>
      <c r="B23" s="4" t="n">
        <v>1</v>
      </c>
      <c r="C23" s="4" t="s">
        <v>25</v>
      </c>
      <c r="D23" s="4" t="s">
        <v>71</v>
      </c>
      <c r="E23" s="4" t="s">
        <v>42</v>
      </c>
      <c r="F23" s="5" t="s">
        <v>72</v>
      </c>
      <c r="G23" s="5" t="s">
        <v>44</v>
      </c>
      <c r="H23" s="5"/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</row>
    <row r="24" customFormat="false" ht="15" hidden="false" customHeight="false" outlineLevel="0" collapsed="false">
      <c r="A24" s="4" t="n">
        <v>21</v>
      </c>
      <c r="B24" s="4" t="n">
        <v>1</v>
      </c>
      <c r="C24" s="4" t="s">
        <v>25</v>
      </c>
      <c r="D24" s="4" t="s">
        <v>73</v>
      </c>
      <c r="E24" s="4" t="s">
        <v>47</v>
      </c>
      <c r="F24" s="5" t="s">
        <v>48</v>
      </c>
      <c r="G24" s="5" t="s">
        <v>49</v>
      </c>
      <c r="H24" s="5"/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1</v>
      </c>
    </row>
    <row r="25" customFormat="false" ht="15" hidden="false" customHeight="false" outlineLevel="0" collapsed="false">
      <c r="A25" s="4" t="n">
        <v>22</v>
      </c>
      <c r="B25" s="4" t="n">
        <v>1</v>
      </c>
      <c r="C25" s="4" t="s">
        <v>25</v>
      </c>
      <c r="D25" s="4" t="s">
        <v>74</v>
      </c>
      <c r="E25" s="4" t="s">
        <v>42</v>
      </c>
      <c r="F25" s="5" t="s">
        <v>75</v>
      </c>
      <c r="G25" s="5" t="s">
        <v>76</v>
      </c>
      <c r="H25" s="5"/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</row>
    <row r="26" customFormat="false" ht="15" hidden="false" customHeight="false" outlineLevel="0" collapsed="false">
      <c r="A26" s="4" t="n">
        <v>23</v>
      </c>
      <c r="B26" s="4" t="n">
        <v>1</v>
      </c>
      <c r="C26" s="4" t="s">
        <v>25</v>
      </c>
      <c r="D26" s="4" t="s">
        <v>77</v>
      </c>
      <c r="E26" s="4" t="s">
        <v>42</v>
      </c>
      <c r="F26" s="5" t="s">
        <v>78</v>
      </c>
      <c r="G26" s="5" t="s">
        <v>79</v>
      </c>
      <c r="H26" s="5"/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3</v>
      </c>
    </row>
    <row r="27" customFormat="false" ht="15" hidden="false" customHeight="false" outlineLevel="0" collapsed="false">
      <c r="A27" s="7" t="n">
        <v>24</v>
      </c>
      <c r="B27" s="7" t="n">
        <v>1</v>
      </c>
      <c r="C27" s="7" t="s">
        <v>25</v>
      </c>
      <c r="D27" s="7" t="s">
        <v>80</v>
      </c>
      <c r="E27" s="7" t="s">
        <v>42</v>
      </c>
      <c r="F27" s="8" t="s">
        <v>81</v>
      </c>
      <c r="G27" s="8" t="s">
        <v>82</v>
      </c>
      <c r="H27" s="8" t="s">
        <v>83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1</v>
      </c>
      <c r="V27" s="9" t="n">
        <v>0</v>
      </c>
      <c r="W27" s="9" t="n">
        <v>0</v>
      </c>
    </row>
    <row r="28" customFormat="false" ht="15" hidden="false" customHeight="false" outlineLevel="0" collapsed="false">
      <c r="A28" s="4" t="n">
        <v>25</v>
      </c>
      <c r="B28" s="4" t="n">
        <v>2</v>
      </c>
      <c r="C28" s="4" t="s">
        <v>25</v>
      </c>
      <c r="D28" s="4" t="s">
        <v>84</v>
      </c>
      <c r="E28" s="4" t="s">
        <v>85</v>
      </c>
      <c r="F28" s="5" t="s">
        <v>58</v>
      </c>
      <c r="G28" s="5" t="s">
        <v>31</v>
      </c>
      <c r="H28" s="5"/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2</v>
      </c>
    </row>
    <row r="29" customFormat="false" ht="15" hidden="false" customHeight="false" outlineLevel="0" collapsed="false">
      <c r="A29" s="4" t="n">
        <v>26</v>
      </c>
      <c r="B29" s="4" t="n">
        <v>2</v>
      </c>
      <c r="C29" s="4" t="s">
        <v>25</v>
      </c>
      <c r="D29" s="4" t="s">
        <v>86</v>
      </c>
      <c r="E29" s="4" t="s">
        <v>85</v>
      </c>
      <c r="F29" s="5" t="s">
        <v>35</v>
      </c>
      <c r="G29" s="5" t="s">
        <v>36</v>
      </c>
      <c r="H29" s="5"/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1</v>
      </c>
    </row>
    <row r="30" customFormat="false" ht="15" hidden="false" customHeight="false" outlineLevel="0" collapsed="false">
      <c r="A30" s="4" t="n">
        <v>27</v>
      </c>
      <c r="B30" s="4" t="n">
        <v>2</v>
      </c>
      <c r="C30" s="4" t="s">
        <v>25</v>
      </c>
      <c r="D30" s="4" t="s">
        <v>87</v>
      </c>
      <c r="E30" s="4" t="s">
        <v>85</v>
      </c>
      <c r="F30" s="5" t="s">
        <v>33</v>
      </c>
      <c r="G30" s="5" t="s">
        <v>34</v>
      </c>
      <c r="H30" s="5"/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1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</row>
    <row r="31" customFormat="false" ht="15" hidden="false" customHeight="false" outlineLevel="0" collapsed="false">
      <c r="A31" s="4" t="n">
        <v>28</v>
      </c>
      <c r="B31" s="4" t="n">
        <v>2</v>
      </c>
      <c r="C31" s="4" t="s">
        <v>25</v>
      </c>
      <c r="D31" s="4" t="s">
        <v>88</v>
      </c>
      <c r="E31" s="4" t="s">
        <v>47</v>
      </c>
      <c r="F31" s="5" t="s">
        <v>89</v>
      </c>
      <c r="G31" s="5" t="s">
        <v>29</v>
      </c>
      <c r="H31" s="5"/>
      <c r="I31" s="6" t="n">
        <v>2</v>
      </c>
      <c r="J31" s="6" t="n">
        <v>1</v>
      </c>
      <c r="K31" s="6" t="n">
        <v>1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</row>
    <row r="32" customFormat="false" ht="15" hidden="false" customHeight="false" outlineLevel="0" collapsed="false">
      <c r="A32" s="4" t="n">
        <v>29</v>
      </c>
      <c r="B32" s="4" t="n">
        <v>2</v>
      </c>
      <c r="C32" s="4" t="s">
        <v>25</v>
      </c>
      <c r="D32" s="4" t="s">
        <v>90</v>
      </c>
      <c r="E32" s="4" t="s">
        <v>85</v>
      </c>
      <c r="F32" s="5" t="s">
        <v>39</v>
      </c>
      <c r="G32" s="5" t="s">
        <v>39</v>
      </c>
      <c r="H32" s="5"/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1</v>
      </c>
    </row>
    <row r="33" customFormat="false" ht="15" hidden="false" customHeight="false" outlineLevel="0" collapsed="false">
      <c r="A33" s="4" t="n">
        <v>30</v>
      </c>
      <c r="B33" s="4" t="n">
        <v>2</v>
      </c>
      <c r="C33" s="4" t="s">
        <v>25</v>
      </c>
      <c r="D33" s="4" t="s">
        <v>91</v>
      </c>
      <c r="E33" s="4" t="s">
        <v>27</v>
      </c>
      <c r="F33" s="5" t="s">
        <v>39</v>
      </c>
      <c r="G33" s="5" t="s">
        <v>39</v>
      </c>
      <c r="H33" s="5"/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1</v>
      </c>
    </row>
    <row r="34" customFormat="false" ht="15" hidden="false" customHeight="false" outlineLevel="0" collapsed="false">
      <c r="A34" s="4" t="n">
        <v>31</v>
      </c>
      <c r="B34" s="4" t="n">
        <v>2</v>
      </c>
      <c r="C34" s="4" t="s">
        <v>25</v>
      </c>
      <c r="D34" s="4" t="s">
        <v>92</v>
      </c>
      <c r="E34" s="4" t="s">
        <v>27</v>
      </c>
      <c r="F34" s="5" t="s">
        <v>39</v>
      </c>
      <c r="G34" s="5" t="s">
        <v>39</v>
      </c>
      <c r="H34" s="5"/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1</v>
      </c>
    </row>
    <row r="35" customFormat="false" ht="15" hidden="false" customHeight="false" outlineLevel="0" collapsed="false">
      <c r="A35" s="4" t="n">
        <v>32</v>
      </c>
      <c r="B35" s="4" t="n">
        <v>2</v>
      </c>
      <c r="C35" s="4" t="s">
        <v>25</v>
      </c>
      <c r="D35" s="4" t="s">
        <v>93</v>
      </c>
      <c r="E35" s="4" t="s">
        <v>38</v>
      </c>
      <c r="F35" s="5" t="s">
        <v>35</v>
      </c>
      <c r="G35" s="5" t="s">
        <v>36</v>
      </c>
      <c r="H35" s="5"/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1</v>
      </c>
    </row>
    <row r="36" customFormat="false" ht="15" hidden="false" customHeight="false" outlineLevel="0" collapsed="false">
      <c r="A36" s="4" t="n">
        <v>33</v>
      </c>
      <c r="B36" s="4" t="n">
        <v>2</v>
      </c>
      <c r="C36" s="4" t="s">
        <v>25</v>
      </c>
      <c r="D36" s="4" t="s">
        <v>94</v>
      </c>
      <c r="E36" s="4" t="s">
        <v>42</v>
      </c>
      <c r="F36" s="5" t="s">
        <v>35</v>
      </c>
      <c r="G36" s="5" t="s">
        <v>36</v>
      </c>
      <c r="H36" s="5"/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1</v>
      </c>
    </row>
    <row r="37" customFormat="false" ht="15" hidden="false" customHeight="false" outlineLevel="0" collapsed="false">
      <c r="A37" s="4" t="n">
        <v>34</v>
      </c>
      <c r="B37" s="4" t="n">
        <v>2</v>
      </c>
      <c r="C37" s="4" t="s">
        <v>25</v>
      </c>
      <c r="D37" s="4" t="s">
        <v>95</v>
      </c>
      <c r="E37" s="4" t="s">
        <v>47</v>
      </c>
      <c r="F37" s="5" t="s">
        <v>51</v>
      </c>
      <c r="G37" s="5" t="s">
        <v>52</v>
      </c>
      <c r="H37" s="5"/>
      <c r="I37" s="6" t="n">
        <v>0</v>
      </c>
      <c r="J37" s="6" t="n">
        <v>0</v>
      </c>
      <c r="K37" s="6" t="n">
        <v>1</v>
      </c>
      <c r="L37" s="6" t="n">
        <v>0</v>
      </c>
      <c r="M37" s="6" t="n">
        <v>1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</row>
    <row r="38" customFormat="false" ht="15" hidden="false" customHeight="false" outlineLevel="0" collapsed="false">
      <c r="A38" s="4" t="n">
        <v>35</v>
      </c>
      <c r="B38" s="4" t="n">
        <v>2</v>
      </c>
      <c r="C38" s="4" t="s">
        <v>25</v>
      </c>
      <c r="D38" s="4" t="s">
        <v>96</v>
      </c>
      <c r="E38" s="4" t="s">
        <v>27</v>
      </c>
      <c r="F38" s="5" t="s">
        <v>97</v>
      </c>
      <c r="G38" s="5" t="s">
        <v>61</v>
      </c>
      <c r="H38" s="5"/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1</v>
      </c>
    </row>
    <row r="39" customFormat="false" ht="15" hidden="false" customHeight="false" outlineLevel="0" collapsed="false">
      <c r="A39" s="4" t="n">
        <v>36</v>
      </c>
      <c r="B39" s="4" t="n">
        <v>2</v>
      </c>
      <c r="C39" s="4" t="s">
        <v>25</v>
      </c>
      <c r="D39" s="4" t="s">
        <v>98</v>
      </c>
      <c r="E39" s="4" t="s">
        <v>85</v>
      </c>
      <c r="F39" s="5" t="s">
        <v>58</v>
      </c>
      <c r="G39" s="5" t="s">
        <v>31</v>
      </c>
      <c r="H39" s="5"/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2</v>
      </c>
    </row>
    <row r="40" customFormat="false" ht="15" hidden="false" customHeight="false" outlineLevel="0" collapsed="false">
      <c r="A40" s="4" t="n">
        <v>37</v>
      </c>
      <c r="B40" s="4" t="n">
        <v>2</v>
      </c>
      <c r="C40" s="4" t="s">
        <v>25</v>
      </c>
      <c r="D40" s="4" t="s">
        <v>98</v>
      </c>
      <c r="E40" s="4" t="s">
        <v>85</v>
      </c>
      <c r="F40" s="5" t="s">
        <v>72</v>
      </c>
      <c r="G40" s="5" t="s">
        <v>44</v>
      </c>
      <c r="H40" s="5"/>
      <c r="I40" s="6" t="n">
        <v>0</v>
      </c>
      <c r="J40" s="6" t="n">
        <v>0</v>
      </c>
      <c r="K40" s="6" t="n">
        <v>1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</row>
    <row r="41" customFormat="false" ht="15" hidden="false" customHeight="false" outlineLevel="0" collapsed="false">
      <c r="A41" s="4" t="n">
        <v>38</v>
      </c>
      <c r="B41" s="4" t="n">
        <v>2</v>
      </c>
      <c r="C41" s="4" t="s">
        <v>25</v>
      </c>
      <c r="D41" s="4" t="s">
        <v>99</v>
      </c>
      <c r="E41" s="4" t="s">
        <v>100</v>
      </c>
      <c r="F41" s="5" t="s">
        <v>60</v>
      </c>
      <c r="G41" s="5" t="s">
        <v>61</v>
      </c>
      <c r="H41" s="5"/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1</v>
      </c>
    </row>
    <row r="42" customFormat="false" ht="15" hidden="false" customHeight="false" outlineLevel="0" collapsed="false">
      <c r="A42" s="4" t="n">
        <v>39</v>
      </c>
      <c r="B42" s="4" t="n">
        <v>2</v>
      </c>
      <c r="C42" s="4" t="s">
        <v>25</v>
      </c>
      <c r="D42" s="4" t="s">
        <v>101</v>
      </c>
      <c r="E42" s="4" t="s">
        <v>42</v>
      </c>
      <c r="F42" s="5" t="s">
        <v>72</v>
      </c>
      <c r="G42" s="5" t="s">
        <v>44</v>
      </c>
      <c r="H42" s="5"/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</row>
    <row r="43" customFormat="false" ht="15" hidden="false" customHeight="false" outlineLevel="0" collapsed="false">
      <c r="A43" s="7" t="n">
        <v>40</v>
      </c>
      <c r="B43" s="7" t="n">
        <v>2</v>
      </c>
      <c r="C43" s="7" t="s">
        <v>25</v>
      </c>
      <c r="D43" s="7" t="s">
        <v>101</v>
      </c>
      <c r="E43" s="7" t="s">
        <v>100</v>
      </c>
      <c r="F43" s="8" t="s">
        <v>48</v>
      </c>
      <c r="G43" s="8" t="s">
        <v>49</v>
      </c>
      <c r="H43" s="8" t="s">
        <v>102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1</v>
      </c>
    </row>
    <row r="44" customFormat="false" ht="15" hidden="false" customHeight="false" outlineLevel="0" collapsed="false">
      <c r="A44" s="4" t="n">
        <v>41</v>
      </c>
      <c r="B44" s="4" t="n">
        <v>2</v>
      </c>
      <c r="C44" s="4" t="s">
        <v>25</v>
      </c>
      <c r="D44" s="4" t="s">
        <v>101</v>
      </c>
      <c r="E44" s="4" t="s">
        <v>27</v>
      </c>
      <c r="F44" s="5" t="s">
        <v>103</v>
      </c>
      <c r="G44" s="5" t="s">
        <v>104</v>
      </c>
      <c r="H44" s="5"/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1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3</v>
      </c>
    </row>
    <row r="45" customFormat="false" ht="15" hidden="false" customHeight="false" outlineLevel="0" collapsed="false">
      <c r="A45" s="4" t="n">
        <v>42</v>
      </c>
      <c r="B45" s="4" t="n">
        <v>2</v>
      </c>
      <c r="C45" s="4" t="s">
        <v>25</v>
      </c>
      <c r="D45" s="4" t="s">
        <v>101</v>
      </c>
      <c r="E45" s="4" t="s">
        <v>27</v>
      </c>
      <c r="F45" s="5" t="s">
        <v>58</v>
      </c>
      <c r="G45" s="5" t="s">
        <v>31</v>
      </c>
      <c r="H45" s="5"/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2</v>
      </c>
    </row>
    <row r="46" customFormat="false" ht="15" hidden="false" customHeight="false" outlineLevel="0" collapsed="false">
      <c r="A46" s="4" t="n">
        <v>43</v>
      </c>
      <c r="B46" s="4" t="n">
        <v>2</v>
      </c>
      <c r="C46" s="4" t="s">
        <v>25</v>
      </c>
      <c r="D46" s="4" t="s">
        <v>105</v>
      </c>
      <c r="E46" s="4" t="s">
        <v>27</v>
      </c>
      <c r="F46" s="5" t="s">
        <v>72</v>
      </c>
      <c r="G46" s="5" t="s">
        <v>44</v>
      </c>
      <c r="H46" s="5"/>
      <c r="I46" s="6" t="n">
        <v>0</v>
      </c>
      <c r="J46" s="6" t="n">
        <v>0</v>
      </c>
      <c r="K46" s="6" t="n">
        <v>1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</row>
    <row r="47" customFormat="false" ht="15" hidden="false" customHeight="false" outlineLevel="0" collapsed="false">
      <c r="A47" s="4" t="n">
        <v>44</v>
      </c>
      <c r="B47" s="4" t="n">
        <v>2</v>
      </c>
      <c r="C47" s="4" t="s">
        <v>25</v>
      </c>
      <c r="D47" s="4" t="s">
        <v>106</v>
      </c>
      <c r="E47" s="4" t="s">
        <v>100</v>
      </c>
      <c r="F47" s="5" t="s">
        <v>103</v>
      </c>
      <c r="G47" s="5" t="s">
        <v>104</v>
      </c>
      <c r="H47" s="5"/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1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3</v>
      </c>
    </row>
    <row r="48" customFormat="false" ht="15" hidden="false" customHeight="false" outlineLevel="0" collapsed="false">
      <c r="A48" s="4" t="n">
        <v>45</v>
      </c>
      <c r="B48" s="4" t="n">
        <v>2</v>
      </c>
      <c r="C48" s="4" t="s">
        <v>25</v>
      </c>
      <c r="D48" s="4" t="s">
        <v>107</v>
      </c>
      <c r="E48" s="4" t="s">
        <v>100</v>
      </c>
      <c r="F48" s="5" t="s">
        <v>35</v>
      </c>
      <c r="G48" s="5" t="s">
        <v>36</v>
      </c>
      <c r="H48" s="5"/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1</v>
      </c>
    </row>
    <row r="49" customFormat="false" ht="15" hidden="false" customHeight="false" outlineLevel="0" collapsed="false">
      <c r="A49" s="4" t="n">
        <v>46</v>
      </c>
      <c r="B49" s="4" t="n">
        <v>2</v>
      </c>
      <c r="C49" s="4" t="s">
        <v>25</v>
      </c>
      <c r="D49" s="4" t="s">
        <v>108</v>
      </c>
      <c r="E49" s="4" t="s">
        <v>100</v>
      </c>
      <c r="F49" s="5" t="s">
        <v>58</v>
      </c>
      <c r="G49" s="5" t="s">
        <v>31</v>
      </c>
      <c r="H49" s="5"/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2</v>
      </c>
    </row>
    <row r="50" customFormat="false" ht="15" hidden="false" customHeight="false" outlineLevel="0" collapsed="false">
      <c r="A50" s="4" t="n">
        <v>47</v>
      </c>
      <c r="B50" s="4" t="n">
        <v>2</v>
      </c>
      <c r="C50" s="4" t="s">
        <v>25</v>
      </c>
      <c r="D50" s="4" t="s">
        <v>109</v>
      </c>
      <c r="E50" s="4" t="s">
        <v>100</v>
      </c>
      <c r="F50" s="5" t="s">
        <v>110</v>
      </c>
      <c r="G50" s="5" t="s">
        <v>111</v>
      </c>
      <c r="H50" s="5"/>
      <c r="I50" s="6" t="n">
        <v>1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1</v>
      </c>
      <c r="O50" s="6" t="n">
        <v>1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</row>
    <row r="51" customFormat="false" ht="15" hidden="false" customHeight="false" outlineLevel="0" collapsed="false">
      <c r="A51" s="7" t="n">
        <v>48</v>
      </c>
      <c r="B51" s="7" t="n">
        <v>2</v>
      </c>
      <c r="C51" s="7" t="s">
        <v>25</v>
      </c>
      <c r="D51" s="7" t="s">
        <v>112</v>
      </c>
      <c r="E51" s="7" t="s">
        <v>100</v>
      </c>
      <c r="F51" s="8" t="s">
        <v>113</v>
      </c>
      <c r="G51" s="8" t="s">
        <v>111</v>
      </c>
      <c r="H51" s="8" t="s">
        <v>114</v>
      </c>
      <c r="I51" s="9" t="n">
        <v>1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1</v>
      </c>
      <c r="O51" s="9" t="n">
        <v>1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</row>
    <row r="52" customFormat="false" ht="15" hidden="false" customHeight="false" outlineLevel="0" collapsed="false">
      <c r="A52" s="4" t="n">
        <v>49</v>
      </c>
      <c r="B52" s="4" t="n">
        <v>3</v>
      </c>
      <c r="C52" s="4" t="s">
        <v>25</v>
      </c>
      <c r="D52" s="4" t="s">
        <v>115</v>
      </c>
      <c r="E52" s="4" t="s">
        <v>100</v>
      </c>
      <c r="F52" s="5" t="s">
        <v>39</v>
      </c>
      <c r="G52" s="5" t="s">
        <v>39</v>
      </c>
      <c r="H52" s="5"/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1</v>
      </c>
    </row>
    <row r="53" customFormat="false" ht="15" hidden="false" customHeight="false" outlineLevel="0" collapsed="false">
      <c r="A53" s="4" t="n">
        <v>50</v>
      </c>
      <c r="B53" s="4" t="n">
        <v>3</v>
      </c>
      <c r="C53" s="4" t="s">
        <v>25</v>
      </c>
      <c r="D53" s="4" t="s">
        <v>116</v>
      </c>
      <c r="E53" s="4" t="s">
        <v>27</v>
      </c>
      <c r="F53" s="5" t="s">
        <v>35</v>
      </c>
      <c r="G53" s="5" t="s">
        <v>36</v>
      </c>
      <c r="H53" s="5"/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1</v>
      </c>
    </row>
    <row r="54" customFormat="false" ht="15" hidden="false" customHeight="false" outlineLevel="0" collapsed="false">
      <c r="A54" s="4" t="n">
        <v>51</v>
      </c>
      <c r="B54" s="4" t="n">
        <v>3</v>
      </c>
      <c r="C54" s="4" t="s">
        <v>25</v>
      </c>
      <c r="D54" s="4" t="s">
        <v>117</v>
      </c>
      <c r="E54" s="4" t="s">
        <v>85</v>
      </c>
      <c r="F54" s="5" t="s">
        <v>58</v>
      </c>
      <c r="G54" s="5" t="s">
        <v>31</v>
      </c>
      <c r="H54" s="5"/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2</v>
      </c>
    </row>
    <row r="55" customFormat="false" ht="15" hidden="false" customHeight="false" outlineLevel="0" collapsed="false">
      <c r="A55" s="4" t="n">
        <v>52</v>
      </c>
      <c r="B55" s="4" t="n">
        <v>3</v>
      </c>
      <c r="C55" s="4" t="s">
        <v>25</v>
      </c>
      <c r="D55" s="4" t="s">
        <v>118</v>
      </c>
      <c r="E55" s="4" t="s">
        <v>85</v>
      </c>
      <c r="F55" s="5" t="s">
        <v>89</v>
      </c>
      <c r="G55" s="5" t="s">
        <v>29</v>
      </c>
      <c r="H55" s="5"/>
      <c r="I55" s="6" t="n">
        <v>2</v>
      </c>
      <c r="J55" s="6" t="n">
        <v>1</v>
      </c>
      <c r="K55" s="6" t="n">
        <v>1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</row>
    <row r="56" customFormat="false" ht="15" hidden="false" customHeight="false" outlineLevel="0" collapsed="false">
      <c r="A56" s="4" t="n">
        <v>53</v>
      </c>
      <c r="B56" s="4" t="n">
        <v>3</v>
      </c>
      <c r="C56" s="4" t="s">
        <v>25</v>
      </c>
      <c r="D56" s="4" t="s">
        <v>119</v>
      </c>
      <c r="E56" s="4" t="s">
        <v>85</v>
      </c>
      <c r="F56" s="5" t="s">
        <v>110</v>
      </c>
      <c r="G56" s="5" t="s">
        <v>111</v>
      </c>
      <c r="H56" s="5"/>
      <c r="I56" s="6" t="n">
        <v>1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1</v>
      </c>
      <c r="O56" s="6" t="n">
        <v>1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</row>
    <row r="57" customFormat="false" ht="15" hidden="false" customHeight="false" outlineLevel="0" collapsed="false">
      <c r="A57" s="7" t="n">
        <v>54</v>
      </c>
      <c r="B57" s="7" t="n">
        <v>3</v>
      </c>
      <c r="C57" s="7" t="s">
        <v>25</v>
      </c>
      <c r="D57" s="7" t="s">
        <v>120</v>
      </c>
      <c r="E57" s="7" t="s">
        <v>121</v>
      </c>
      <c r="F57" s="8" t="s">
        <v>122</v>
      </c>
      <c r="G57" s="8" t="s">
        <v>123</v>
      </c>
      <c r="H57" s="8" t="s">
        <v>124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9" t="n">
        <v>0</v>
      </c>
      <c r="W57" s="9" t="n">
        <v>3</v>
      </c>
    </row>
    <row r="58" customFormat="false" ht="15" hidden="false" customHeight="false" outlineLevel="0" collapsed="false">
      <c r="A58" s="4" t="n">
        <v>55</v>
      </c>
      <c r="B58" s="4" t="n">
        <v>3</v>
      </c>
      <c r="C58" s="4" t="s">
        <v>25</v>
      </c>
      <c r="D58" s="4" t="s">
        <v>125</v>
      </c>
      <c r="E58" s="4" t="s">
        <v>121</v>
      </c>
      <c r="F58" s="5" t="s">
        <v>126</v>
      </c>
      <c r="G58" s="5" t="s">
        <v>127</v>
      </c>
      <c r="H58" s="5"/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1</v>
      </c>
      <c r="V58" s="6" t="n">
        <v>0</v>
      </c>
      <c r="W58" s="6" t="n">
        <v>0</v>
      </c>
    </row>
    <row r="59" customFormat="false" ht="15" hidden="false" customHeight="false" outlineLevel="0" collapsed="false">
      <c r="A59" s="4" t="n">
        <v>56</v>
      </c>
      <c r="B59" s="4" t="n">
        <v>3</v>
      </c>
      <c r="C59" s="4" t="s">
        <v>25</v>
      </c>
      <c r="D59" s="4" t="s">
        <v>128</v>
      </c>
      <c r="E59" s="4" t="s">
        <v>85</v>
      </c>
      <c r="F59" s="5" t="s">
        <v>122</v>
      </c>
      <c r="G59" s="5" t="s">
        <v>123</v>
      </c>
      <c r="H59" s="5"/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</v>
      </c>
      <c r="T59" s="6" t="n">
        <v>0</v>
      </c>
      <c r="U59" s="6" t="n">
        <v>0</v>
      </c>
      <c r="V59" s="6" t="n">
        <v>0</v>
      </c>
      <c r="W59" s="6" t="n">
        <v>3</v>
      </c>
    </row>
    <row r="60" customFormat="false" ht="15" hidden="false" customHeight="false" outlineLevel="0" collapsed="false">
      <c r="A60" s="4" t="n">
        <v>57</v>
      </c>
      <c r="B60" s="4" t="n">
        <v>3</v>
      </c>
      <c r="C60" s="4" t="s">
        <v>25</v>
      </c>
      <c r="D60" s="4" t="s">
        <v>129</v>
      </c>
      <c r="E60" s="4" t="s">
        <v>100</v>
      </c>
      <c r="F60" s="5" t="s">
        <v>35</v>
      </c>
      <c r="G60" s="5" t="s">
        <v>36</v>
      </c>
      <c r="H60" s="5"/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1</v>
      </c>
    </row>
    <row r="61" customFormat="false" ht="15" hidden="false" customHeight="false" outlineLevel="0" collapsed="false">
      <c r="A61" s="4" t="n">
        <v>58</v>
      </c>
      <c r="B61" s="4" t="n">
        <v>3</v>
      </c>
      <c r="C61" s="4" t="s">
        <v>25</v>
      </c>
      <c r="D61" s="4" t="s">
        <v>130</v>
      </c>
      <c r="E61" s="4" t="s">
        <v>85</v>
      </c>
      <c r="F61" s="5" t="s">
        <v>89</v>
      </c>
      <c r="G61" s="5" t="s">
        <v>29</v>
      </c>
      <c r="H61" s="5"/>
      <c r="I61" s="6" t="n">
        <v>2</v>
      </c>
      <c r="J61" s="6" t="n">
        <v>1</v>
      </c>
      <c r="K61" s="6" t="n">
        <v>1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</row>
    <row r="62" customFormat="false" ht="15" hidden="false" customHeight="false" outlineLevel="0" collapsed="false">
      <c r="A62" s="4" t="n">
        <v>59</v>
      </c>
      <c r="B62" s="4" t="n">
        <v>3</v>
      </c>
      <c r="C62" s="4" t="s">
        <v>25</v>
      </c>
      <c r="D62" s="4" t="s">
        <v>130</v>
      </c>
      <c r="E62" s="4" t="s">
        <v>100</v>
      </c>
      <c r="F62" s="5" t="s">
        <v>33</v>
      </c>
      <c r="G62" s="5" t="s">
        <v>34</v>
      </c>
      <c r="H62" s="5"/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</row>
    <row r="63" customFormat="false" ht="15" hidden="false" customHeight="false" outlineLevel="0" collapsed="false">
      <c r="A63" s="4" t="n">
        <v>60</v>
      </c>
      <c r="B63" s="4" t="n">
        <v>3</v>
      </c>
      <c r="C63" s="4" t="s">
        <v>25</v>
      </c>
      <c r="D63" s="4" t="s">
        <v>131</v>
      </c>
      <c r="E63" s="4" t="s">
        <v>85</v>
      </c>
      <c r="F63" s="5" t="s">
        <v>39</v>
      </c>
      <c r="G63" s="5" t="s">
        <v>39</v>
      </c>
      <c r="H63" s="5"/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1</v>
      </c>
    </row>
    <row r="64" customFormat="false" ht="15" hidden="false" customHeight="false" outlineLevel="0" collapsed="false">
      <c r="A64" s="4" t="n">
        <v>61</v>
      </c>
      <c r="B64" s="4" t="n">
        <v>3</v>
      </c>
      <c r="C64" s="4" t="s">
        <v>25</v>
      </c>
      <c r="D64" s="4" t="s">
        <v>132</v>
      </c>
      <c r="E64" s="4" t="s">
        <v>100</v>
      </c>
      <c r="F64" s="5" t="s">
        <v>75</v>
      </c>
      <c r="G64" s="5" t="s">
        <v>76</v>
      </c>
      <c r="H64" s="5"/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1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</row>
    <row r="65" customFormat="false" ht="15" hidden="false" customHeight="false" outlineLevel="0" collapsed="false">
      <c r="A65" s="4" t="n">
        <v>62</v>
      </c>
      <c r="B65" s="4" t="n">
        <v>3</v>
      </c>
      <c r="C65" s="4" t="s">
        <v>25</v>
      </c>
      <c r="D65" s="4" t="s">
        <v>133</v>
      </c>
      <c r="E65" s="4" t="s">
        <v>85</v>
      </c>
      <c r="F65" s="5" t="s">
        <v>58</v>
      </c>
      <c r="G65" s="5" t="s">
        <v>31</v>
      </c>
      <c r="H65" s="5"/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2</v>
      </c>
    </row>
    <row r="66" customFormat="false" ht="15" hidden="false" customHeight="false" outlineLevel="0" collapsed="false">
      <c r="A66" s="4" t="n">
        <v>63</v>
      </c>
      <c r="B66" s="4" t="n">
        <v>3</v>
      </c>
      <c r="C66" s="4" t="s">
        <v>25</v>
      </c>
      <c r="D66" s="4" t="s">
        <v>133</v>
      </c>
      <c r="E66" s="4" t="s">
        <v>85</v>
      </c>
      <c r="F66" s="5" t="s">
        <v>35</v>
      </c>
      <c r="G66" s="5" t="s">
        <v>36</v>
      </c>
      <c r="H66" s="5"/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1</v>
      </c>
    </row>
    <row r="67" customFormat="false" ht="15" hidden="false" customHeight="false" outlineLevel="0" collapsed="false">
      <c r="A67" s="4" t="n">
        <v>64</v>
      </c>
      <c r="B67" s="4" t="n">
        <v>3</v>
      </c>
      <c r="C67" s="4" t="s">
        <v>25</v>
      </c>
      <c r="D67" s="4" t="s">
        <v>134</v>
      </c>
      <c r="E67" s="4" t="s">
        <v>121</v>
      </c>
      <c r="F67" s="5" t="s">
        <v>89</v>
      </c>
      <c r="G67" s="5" t="s">
        <v>29</v>
      </c>
      <c r="H67" s="5"/>
      <c r="I67" s="6" t="n">
        <v>2</v>
      </c>
      <c r="J67" s="6" t="n">
        <v>1</v>
      </c>
      <c r="K67" s="6" t="n">
        <v>1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</row>
    <row r="68" customFormat="false" ht="15" hidden="false" customHeight="false" outlineLevel="0" collapsed="false">
      <c r="A68" s="4" t="n">
        <v>65</v>
      </c>
      <c r="B68" s="4" t="n">
        <v>3</v>
      </c>
      <c r="C68" s="4" t="s">
        <v>25</v>
      </c>
      <c r="D68" s="4" t="s">
        <v>134</v>
      </c>
      <c r="E68" s="4" t="s">
        <v>85</v>
      </c>
      <c r="F68" s="5" t="s">
        <v>33</v>
      </c>
      <c r="G68" s="5" t="s">
        <v>34</v>
      </c>
      <c r="H68" s="5"/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1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</row>
    <row r="69" customFormat="false" ht="15" hidden="false" customHeight="false" outlineLevel="0" collapsed="false">
      <c r="A69" s="4" t="n">
        <v>66</v>
      </c>
      <c r="B69" s="4" t="n">
        <v>3</v>
      </c>
      <c r="C69" s="4" t="s">
        <v>25</v>
      </c>
      <c r="D69" s="4" t="s">
        <v>135</v>
      </c>
      <c r="E69" s="4" t="s">
        <v>136</v>
      </c>
      <c r="F69" s="5" t="s">
        <v>122</v>
      </c>
      <c r="G69" s="5" t="s">
        <v>123</v>
      </c>
      <c r="H69" s="5"/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0</v>
      </c>
      <c r="U69" s="6" t="n">
        <v>0</v>
      </c>
      <c r="V69" s="6" t="n">
        <v>0</v>
      </c>
      <c r="W69" s="6" t="n">
        <v>3</v>
      </c>
    </row>
    <row r="70" customFormat="false" ht="15" hidden="false" customHeight="false" outlineLevel="0" collapsed="false">
      <c r="A70" s="7" t="n">
        <v>67</v>
      </c>
      <c r="B70" s="7" t="n">
        <v>3</v>
      </c>
      <c r="C70" s="7" t="s">
        <v>25</v>
      </c>
      <c r="D70" s="7" t="s">
        <v>137</v>
      </c>
      <c r="E70" s="7" t="s">
        <v>136</v>
      </c>
      <c r="F70" s="8" t="s">
        <v>81</v>
      </c>
      <c r="G70" s="8" t="s">
        <v>82</v>
      </c>
      <c r="H70" s="8" t="s">
        <v>83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1</v>
      </c>
      <c r="V70" s="9" t="n">
        <v>0</v>
      </c>
      <c r="W70" s="9" t="n">
        <v>0</v>
      </c>
    </row>
    <row r="71" customFormat="false" ht="15" hidden="false" customHeight="false" outlineLevel="0" collapsed="false">
      <c r="A71" s="4" t="n">
        <v>68</v>
      </c>
      <c r="B71" s="4" t="n">
        <v>3</v>
      </c>
      <c r="C71" s="4" t="s">
        <v>25</v>
      </c>
      <c r="D71" s="4" t="s">
        <v>138</v>
      </c>
      <c r="E71" s="4" t="s">
        <v>100</v>
      </c>
      <c r="F71" s="5" t="s">
        <v>39</v>
      </c>
      <c r="G71" s="5" t="s">
        <v>39</v>
      </c>
      <c r="H71" s="5"/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1</v>
      </c>
    </row>
    <row r="72" customFormat="false" ht="15" hidden="false" customHeight="false" outlineLevel="0" collapsed="false">
      <c r="A72" s="4" t="n">
        <v>69</v>
      </c>
      <c r="B72" s="4" t="n">
        <v>3</v>
      </c>
      <c r="C72" s="4" t="s">
        <v>25</v>
      </c>
      <c r="D72" s="4" t="s">
        <v>139</v>
      </c>
      <c r="E72" s="4" t="s">
        <v>85</v>
      </c>
      <c r="F72" s="5" t="s">
        <v>75</v>
      </c>
      <c r="G72" s="5" t="s">
        <v>76</v>
      </c>
      <c r="H72" s="5"/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1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</row>
    <row r="73" customFormat="false" ht="15" hidden="false" customHeight="false" outlineLevel="0" collapsed="false">
      <c r="A73" s="4" t="n">
        <v>70</v>
      </c>
      <c r="B73" s="4" t="n">
        <v>3</v>
      </c>
      <c r="C73" s="4" t="s">
        <v>25</v>
      </c>
      <c r="D73" s="4" t="s">
        <v>140</v>
      </c>
      <c r="E73" s="4" t="s">
        <v>121</v>
      </c>
      <c r="F73" s="5" t="s">
        <v>60</v>
      </c>
      <c r="G73" s="5" t="s">
        <v>61</v>
      </c>
      <c r="H73" s="5"/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1</v>
      </c>
    </row>
    <row r="74" customFormat="false" ht="15" hidden="false" customHeight="false" outlineLevel="0" collapsed="false">
      <c r="A74" s="4" t="n">
        <v>71</v>
      </c>
      <c r="B74" s="4" t="n">
        <v>3</v>
      </c>
      <c r="C74" s="4" t="s">
        <v>25</v>
      </c>
      <c r="D74" s="4" t="s">
        <v>141</v>
      </c>
      <c r="E74" s="4" t="s">
        <v>85</v>
      </c>
      <c r="F74" s="5" t="s">
        <v>58</v>
      </c>
      <c r="G74" s="5" t="s">
        <v>31</v>
      </c>
      <c r="H74" s="5"/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2</v>
      </c>
    </row>
    <row r="75" customFormat="false" ht="15" hidden="false" customHeight="false" outlineLevel="0" collapsed="false">
      <c r="A75" s="4" t="n">
        <v>72</v>
      </c>
      <c r="B75" s="4" t="n">
        <v>4</v>
      </c>
      <c r="C75" s="4" t="s">
        <v>25</v>
      </c>
      <c r="D75" s="4" t="s">
        <v>142</v>
      </c>
      <c r="E75" s="4" t="s">
        <v>100</v>
      </c>
      <c r="F75" s="5" t="s">
        <v>143</v>
      </c>
      <c r="G75" s="5" t="s">
        <v>52</v>
      </c>
      <c r="H75" s="5"/>
      <c r="I75" s="6" t="n">
        <v>0</v>
      </c>
      <c r="J75" s="6" t="n">
        <v>0</v>
      </c>
      <c r="K75" s="6" t="n">
        <v>1</v>
      </c>
      <c r="L75" s="6" t="n">
        <v>0</v>
      </c>
      <c r="M75" s="6" t="n">
        <v>1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</row>
    <row r="76" customFormat="false" ht="15" hidden="false" customHeight="false" outlineLevel="0" collapsed="false">
      <c r="A76" s="4" t="n">
        <v>73</v>
      </c>
      <c r="B76" s="4" t="n">
        <v>4</v>
      </c>
      <c r="C76" s="4" t="s">
        <v>25</v>
      </c>
      <c r="D76" s="4" t="s">
        <v>144</v>
      </c>
      <c r="E76" s="4" t="s">
        <v>121</v>
      </c>
      <c r="F76" s="5" t="s">
        <v>48</v>
      </c>
      <c r="G76" s="5" t="s">
        <v>49</v>
      </c>
      <c r="H76" s="5"/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1</v>
      </c>
    </row>
    <row r="77" customFormat="false" ht="15" hidden="false" customHeight="false" outlineLevel="0" collapsed="false">
      <c r="A77" s="4" t="n">
        <v>74</v>
      </c>
      <c r="B77" s="4" t="n">
        <v>4</v>
      </c>
      <c r="C77" s="4" t="s">
        <v>25</v>
      </c>
      <c r="D77" s="4" t="s">
        <v>145</v>
      </c>
      <c r="E77" s="4" t="s">
        <v>146</v>
      </c>
      <c r="F77" s="5" t="s">
        <v>103</v>
      </c>
      <c r="G77" s="5" t="s">
        <v>104</v>
      </c>
      <c r="H77" s="5"/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1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3</v>
      </c>
    </row>
    <row r="78" customFormat="false" ht="15" hidden="false" customHeight="false" outlineLevel="0" collapsed="false">
      <c r="A78" s="7" t="n">
        <v>75</v>
      </c>
      <c r="B78" s="7" t="n">
        <v>4</v>
      </c>
      <c r="C78" s="7" t="s">
        <v>25</v>
      </c>
      <c r="D78" s="7" t="s">
        <v>147</v>
      </c>
      <c r="E78" s="7" t="s">
        <v>146</v>
      </c>
      <c r="F78" s="8" t="s">
        <v>148</v>
      </c>
      <c r="G78" s="8" t="s">
        <v>82</v>
      </c>
      <c r="H78" s="8" t="s">
        <v>83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1</v>
      </c>
      <c r="V78" s="9" t="n">
        <v>0</v>
      </c>
      <c r="W78" s="9" t="n">
        <v>0</v>
      </c>
    </row>
    <row r="79" customFormat="false" ht="15" hidden="false" customHeight="false" outlineLevel="0" collapsed="false">
      <c r="A79" s="4" t="n">
        <v>76</v>
      </c>
      <c r="B79" s="4" t="n">
        <v>4</v>
      </c>
      <c r="C79" s="4" t="s">
        <v>25</v>
      </c>
      <c r="D79" s="4" t="s">
        <v>149</v>
      </c>
      <c r="E79" s="4" t="s">
        <v>85</v>
      </c>
      <c r="F79" s="5" t="s">
        <v>150</v>
      </c>
      <c r="G79" s="5" t="s">
        <v>49</v>
      </c>
      <c r="H79" s="5"/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1</v>
      </c>
    </row>
    <row r="80" customFormat="false" ht="15" hidden="false" customHeight="false" outlineLevel="0" collapsed="false">
      <c r="A80" s="4" t="n">
        <v>77</v>
      </c>
      <c r="B80" s="4" t="n">
        <v>4</v>
      </c>
      <c r="C80" s="4" t="s">
        <v>25</v>
      </c>
      <c r="D80" s="4" t="s">
        <v>151</v>
      </c>
      <c r="E80" s="4" t="s">
        <v>146</v>
      </c>
      <c r="F80" s="5" t="s">
        <v>152</v>
      </c>
      <c r="G80" s="5" t="s">
        <v>49</v>
      </c>
      <c r="H80" s="5"/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1</v>
      </c>
    </row>
    <row r="81" customFormat="false" ht="15" hidden="false" customHeight="false" outlineLevel="0" collapsed="false">
      <c r="A81" s="4" t="n">
        <v>78</v>
      </c>
      <c r="B81" s="4" t="n">
        <v>4</v>
      </c>
      <c r="C81" s="4" t="s">
        <v>25</v>
      </c>
      <c r="D81" s="4" t="s">
        <v>153</v>
      </c>
      <c r="E81" s="4" t="s">
        <v>146</v>
      </c>
      <c r="F81" s="5" t="s">
        <v>122</v>
      </c>
      <c r="G81" s="5" t="s">
        <v>123</v>
      </c>
      <c r="H81" s="5"/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1</v>
      </c>
      <c r="T81" s="6" t="n">
        <v>0</v>
      </c>
      <c r="U81" s="6" t="n">
        <v>0</v>
      </c>
      <c r="V81" s="6" t="n">
        <v>0</v>
      </c>
      <c r="W81" s="6" t="n">
        <v>3</v>
      </c>
    </row>
    <row r="82" customFormat="false" ht="15" hidden="false" customHeight="false" outlineLevel="0" collapsed="false">
      <c r="A82" s="4" t="n">
        <v>79</v>
      </c>
      <c r="B82" s="4" t="n">
        <v>4</v>
      </c>
      <c r="C82" s="4" t="s">
        <v>25</v>
      </c>
      <c r="D82" s="4" t="s">
        <v>154</v>
      </c>
      <c r="E82" s="4" t="s">
        <v>146</v>
      </c>
      <c r="F82" s="5" t="s">
        <v>155</v>
      </c>
      <c r="G82" s="5" t="s">
        <v>44</v>
      </c>
      <c r="H82" s="5"/>
      <c r="I82" s="6" t="n">
        <v>0</v>
      </c>
      <c r="J82" s="6" t="n">
        <v>0</v>
      </c>
      <c r="K82" s="6" t="n">
        <v>1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</row>
    <row r="83" customFormat="false" ht="15" hidden="false" customHeight="false" outlineLevel="0" collapsed="false">
      <c r="A83" s="7" t="n">
        <v>80</v>
      </c>
      <c r="B83" s="7" t="n">
        <v>4</v>
      </c>
      <c r="C83" s="7" t="s">
        <v>25</v>
      </c>
      <c r="D83" s="7" t="s">
        <v>156</v>
      </c>
      <c r="E83" s="7" t="s">
        <v>32</v>
      </c>
      <c r="F83" s="8" t="s">
        <v>148</v>
      </c>
      <c r="G83" s="8" t="s">
        <v>82</v>
      </c>
      <c r="H83" s="8" t="s">
        <v>83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1</v>
      </c>
      <c r="V83" s="9" t="n">
        <v>0</v>
      </c>
      <c r="W83" s="9" t="n">
        <v>0</v>
      </c>
    </row>
    <row r="84" customFormat="false" ht="15" hidden="false" customHeight="false" outlineLevel="0" collapsed="false">
      <c r="A84" s="4" t="n">
        <v>81</v>
      </c>
      <c r="B84" s="4" t="n">
        <v>4</v>
      </c>
      <c r="C84" s="4" t="s">
        <v>25</v>
      </c>
      <c r="D84" s="4" t="s">
        <v>157</v>
      </c>
      <c r="E84" s="4" t="s">
        <v>32</v>
      </c>
      <c r="F84" s="5" t="s">
        <v>150</v>
      </c>
      <c r="G84" s="5" t="s">
        <v>49</v>
      </c>
      <c r="H84" s="5"/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1</v>
      </c>
    </row>
    <row r="85" customFormat="false" ht="15" hidden="false" customHeight="false" outlineLevel="0" collapsed="false">
      <c r="A85" s="7" t="n">
        <v>82</v>
      </c>
      <c r="B85" s="7" t="n">
        <v>4</v>
      </c>
      <c r="C85" s="7" t="s">
        <v>25</v>
      </c>
      <c r="D85" s="7" t="s">
        <v>158</v>
      </c>
      <c r="E85" s="7" t="s">
        <v>121</v>
      </c>
      <c r="F85" s="8" t="s">
        <v>81</v>
      </c>
      <c r="G85" s="8" t="s">
        <v>82</v>
      </c>
      <c r="H85" s="8" t="s">
        <v>83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1</v>
      </c>
      <c r="V85" s="9" t="n">
        <v>0</v>
      </c>
      <c r="W85" s="9" t="n">
        <v>0</v>
      </c>
    </row>
    <row r="86" customFormat="false" ht="15" hidden="false" customHeight="false" outlineLevel="0" collapsed="false">
      <c r="A86" s="4" t="n">
        <v>83</v>
      </c>
      <c r="B86" s="4" t="n">
        <v>4</v>
      </c>
      <c r="C86" s="4" t="s">
        <v>25</v>
      </c>
      <c r="D86" s="4" t="s">
        <v>159</v>
      </c>
      <c r="E86" s="4" t="s">
        <v>42</v>
      </c>
      <c r="F86" s="5" t="s">
        <v>78</v>
      </c>
      <c r="G86" s="5" t="s">
        <v>79</v>
      </c>
      <c r="H86" s="5"/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3</v>
      </c>
    </row>
    <row r="87" customFormat="false" ht="23.85" hidden="false" customHeight="false" outlineLevel="0" collapsed="false">
      <c r="A87" s="7" t="n">
        <v>84</v>
      </c>
      <c r="B87" s="7" t="n">
        <v>4</v>
      </c>
      <c r="C87" s="7" t="s">
        <v>25</v>
      </c>
      <c r="D87" s="7" t="s">
        <v>160</v>
      </c>
      <c r="E87" s="7" t="s">
        <v>42</v>
      </c>
      <c r="F87" s="8" t="s">
        <v>81</v>
      </c>
      <c r="G87" s="8" t="s">
        <v>82</v>
      </c>
      <c r="H87" s="8" t="s">
        <v>161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1</v>
      </c>
      <c r="V87" s="9" t="n">
        <v>0</v>
      </c>
      <c r="W87" s="9" t="n">
        <v>0</v>
      </c>
    </row>
    <row r="88" customFormat="false" ht="15" hidden="false" customHeight="false" outlineLevel="0" collapsed="false">
      <c r="A88" s="4" t="n">
        <v>85</v>
      </c>
      <c r="B88" s="4" t="n">
        <v>4</v>
      </c>
      <c r="C88" s="4" t="s">
        <v>25</v>
      </c>
      <c r="D88" s="4" t="s">
        <v>162</v>
      </c>
      <c r="E88" s="4" t="s">
        <v>163</v>
      </c>
      <c r="F88" s="5" t="s">
        <v>150</v>
      </c>
      <c r="G88" s="5" t="s">
        <v>49</v>
      </c>
      <c r="H88" s="5"/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1</v>
      </c>
    </row>
    <row r="89" customFormat="false" ht="15" hidden="false" customHeight="false" outlineLevel="0" collapsed="false">
      <c r="A89" s="4" t="n">
        <v>86</v>
      </c>
      <c r="B89" s="4" t="n">
        <v>4</v>
      </c>
      <c r="C89" s="4" t="s">
        <v>25</v>
      </c>
      <c r="D89" s="4" t="s">
        <v>162</v>
      </c>
      <c r="E89" s="4" t="s">
        <v>42</v>
      </c>
      <c r="F89" s="5" t="s">
        <v>103</v>
      </c>
      <c r="G89" s="5" t="s">
        <v>104</v>
      </c>
      <c r="H89" s="5"/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1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3</v>
      </c>
    </row>
    <row r="90" customFormat="false" ht="15" hidden="false" customHeight="false" outlineLevel="0" collapsed="false">
      <c r="A90" s="4" t="n">
        <v>87</v>
      </c>
      <c r="B90" s="4" t="n">
        <v>4</v>
      </c>
      <c r="C90" s="4" t="s">
        <v>25</v>
      </c>
      <c r="D90" s="4" t="s">
        <v>164</v>
      </c>
      <c r="E90" s="4" t="s">
        <v>42</v>
      </c>
      <c r="F90" s="5" t="s">
        <v>165</v>
      </c>
      <c r="G90" s="5" t="s">
        <v>166</v>
      </c>
      <c r="H90" s="5"/>
      <c r="I90" s="6" t="n">
        <v>0</v>
      </c>
      <c r="J90" s="6" t="n">
        <v>0</v>
      </c>
      <c r="K90" s="6" t="n">
        <v>1</v>
      </c>
      <c r="L90" s="6" t="n">
        <v>0</v>
      </c>
      <c r="M90" s="6" t="n">
        <v>1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</row>
    <row r="91" customFormat="false" ht="15" hidden="false" customHeight="false" outlineLevel="0" collapsed="false">
      <c r="A91" s="4" t="n">
        <v>88</v>
      </c>
      <c r="B91" s="4" t="n">
        <v>4</v>
      </c>
      <c r="C91" s="4" t="s">
        <v>25</v>
      </c>
      <c r="D91" s="4" t="s">
        <v>167</v>
      </c>
      <c r="E91" s="4" t="s">
        <v>85</v>
      </c>
      <c r="F91" s="5" t="s">
        <v>58</v>
      </c>
      <c r="G91" s="5" t="s">
        <v>31</v>
      </c>
      <c r="H91" s="5"/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2</v>
      </c>
    </row>
    <row r="92" customFormat="false" ht="23.85" hidden="false" customHeight="false" outlineLevel="0" collapsed="false">
      <c r="A92" s="7" t="n">
        <v>89</v>
      </c>
      <c r="B92" s="7" t="n">
        <v>4</v>
      </c>
      <c r="C92" s="7" t="s">
        <v>25</v>
      </c>
      <c r="D92" s="7" t="s">
        <v>168</v>
      </c>
      <c r="E92" s="7" t="s">
        <v>42</v>
      </c>
      <c r="F92" s="8" t="s">
        <v>169</v>
      </c>
      <c r="G92" s="8" t="s">
        <v>52</v>
      </c>
      <c r="H92" s="8" t="s">
        <v>170</v>
      </c>
      <c r="I92" s="9" t="n">
        <v>0</v>
      </c>
      <c r="J92" s="9" t="n">
        <v>0</v>
      </c>
      <c r="K92" s="9" t="n">
        <v>1</v>
      </c>
      <c r="L92" s="9" t="n">
        <v>0</v>
      </c>
      <c r="M92" s="9" t="n">
        <v>1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</row>
    <row r="93" customFormat="false" ht="15" hidden="false" customHeight="false" outlineLevel="0" collapsed="false">
      <c r="A93" s="4" t="n">
        <v>90</v>
      </c>
      <c r="B93" s="4" t="n">
        <v>4</v>
      </c>
      <c r="C93" s="4" t="s">
        <v>25</v>
      </c>
      <c r="D93" s="4" t="s">
        <v>171</v>
      </c>
      <c r="E93" s="4" t="s">
        <v>47</v>
      </c>
      <c r="F93" s="5" t="s">
        <v>48</v>
      </c>
      <c r="G93" s="5" t="s">
        <v>49</v>
      </c>
      <c r="H93" s="5"/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1</v>
      </c>
    </row>
    <row r="94" customFormat="false" ht="15" hidden="false" customHeight="false" outlineLevel="0" collapsed="false">
      <c r="A94" s="4" t="n">
        <v>91</v>
      </c>
      <c r="B94" s="4" t="n">
        <v>4</v>
      </c>
      <c r="C94" s="4" t="s">
        <v>25</v>
      </c>
      <c r="D94" s="4" t="s">
        <v>172</v>
      </c>
      <c r="E94" s="4" t="s">
        <v>32</v>
      </c>
      <c r="F94" s="5" t="s">
        <v>173</v>
      </c>
      <c r="G94" s="5" t="s">
        <v>174</v>
      </c>
      <c r="H94" s="5"/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1</v>
      </c>
      <c r="U94" s="6" t="n">
        <v>0</v>
      </c>
      <c r="V94" s="6" t="n">
        <v>0</v>
      </c>
      <c r="W94" s="6" t="n">
        <v>1</v>
      </c>
    </row>
    <row r="95" customFormat="false" ht="15" hidden="false" customHeight="false" outlineLevel="0" collapsed="false">
      <c r="A95" s="4" t="n">
        <v>92</v>
      </c>
      <c r="B95" s="4" t="n">
        <v>4</v>
      </c>
      <c r="C95" s="4" t="s">
        <v>25</v>
      </c>
      <c r="D95" s="4" t="s">
        <v>175</v>
      </c>
      <c r="E95" s="4" t="s">
        <v>32</v>
      </c>
      <c r="F95" s="5" t="s">
        <v>78</v>
      </c>
      <c r="G95" s="5" t="s">
        <v>79</v>
      </c>
      <c r="H95" s="5"/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3</v>
      </c>
    </row>
    <row r="96" customFormat="false" ht="15" hidden="false" customHeight="false" outlineLevel="0" collapsed="false">
      <c r="A96" s="4" t="n">
        <v>93</v>
      </c>
      <c r="B96" s="4" t="n">
        <v>4</v>
      </c>
      <c r="C96" s="4" t="s">
        <v>25</v>
      </c>
      <c r="D96" s="4" t="s">
        <v>176</v>
      </c>
      <c r="E96" s="4" t="s">
        <v>32</v>
      </c>
      <c r="F96" s="5" t="s">
        <v>35</v>
      </c>
      <c r="G96" s="5" t="s">
        <v>36</v>
      </c>
      <c r="H96" s="5"/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1</v>
      </c>
    </row>
    <row r="97" customFormat="false" ht="15" hidden="false" customHeight="false" outlineLevel="0" collapsed="false">
      <c r="A97" s="4" t="n">
        <v>94</v>
      </c>
      <c r="B97" s="4" t="n">
        <v>4</v>
      </c>
      <c r="C97" s="4" t="s">
        <v>25</v>
      </c>
      <c r="D97" s="4" t="s">
        <v>177</v>
      </c>
      <c r="E97" s="4" t="s">
        <v>163</v>
      </c>
      <c r="F97" s="5" t="s">
        <v>89</v>
      </c>
      <c r="G97" s="5" t="s">
        <v>29</v>
      </c>
      <c r="H97" s="5"/>
      <c r="I97" s="6" t="n">
        <v>2</v>
      </c>
      <c r="J97" s="6" t="n">
        <v>1</v>
      </c>
      <c r="K97" s="6" t="n">
        <v>1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</row>
    <row r="98" customFormat="false" ht="15" hidden="false" customHeight="false" outlineLevel="0" collapsed="false">
      <c r="A98" s="4" t="n">
        <v>95</v>
      </c>
      <c r="B98" s="4" t="n">
        <v>5</v>
      </c>
      <c r="C98" s="4" t="s">
        <v>25</v>
      </c>
      <c r="D98" s="4" t="s">
        <v>177</v>
      </c>
      <c r="E98" s="4" t="s">
        <v>32</v>
      </c>
      <c r="F98" s="5" t="s">
        <v>33</v>
      </c>
      <c r="G98" s="5" t="s">
        <v>34</v>
      </c>
      <c r="H98" s="5"/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1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</row>
    <row r="99" customFormat="false" ht="15" hidden="false" customHeight="false" outlineLevel="0" collapsed="false">
      <c r="A99" s="4" t="n">
        <v>96</v>
      </c>
      <c r="B99" s="4" t="n">
        <v>5</v>
      </c>
      <c r="C99" s="4" t="s">
        <v>25</v>
      </c>
      <c r="D99" s="4" t="s">
        <v>178</v>
      </c>
      <c r="E99" s="4" t="s">
        <v>163</v>
      </c>
      <c r="F99" s="5" t="s">
        <v>75</v>
      </c>
      <c r="G99" s="5" t="s">
        <v>76</v>
      </c>
      <c r="H99" s="5"/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1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</row>
    <row r="100" customFormat="false" ht="23.85" hidden="false" customHeight="false" outlineLevel="0" collapsed="false">
      <c r="A100" s="7" t="n">
        <v>97</v>
      </c>
      <c r="B100" s="7" t="n">
        <v>5</v>
      </c>
      <c r="C100" s="7" t="s">
        <v>179</v>
      </c>
      <c r="D100" s="7" t="s">
        <v>180</v>
      </c>
      <c r="E100" s="7" t="s">
        <v>42</v>
      </c>
      <c r="F100" s="8" t="s">
        <v>58</v>
      </c>
      <c r="G100" s="8" t="s">
        <v>31</v>
      </c>
      <c r="H100" s="8" t="s">
        <v>181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2</v>
      </c>
    </row>
    <row r="101" customFormat="false" ht="15" hidden="false" customHeight="false" outlineLevel="0" collapsed="false">
      <c r="A101" s="4" t="n">
        <v>98</v>
      </c>
      <c r="B101" s="4" t="n">
        <v>5</v>
      </c>
      <c r="C101" s="4" t="s">
        <v>179</v>
      </c>
      <c r="D101" s="4" t="s">
        <v>182</v>
      </c>
      <c r="E101" s="4" t="s">
        <v>42</v>
      </c>
      <c r="F101" s="5" t="s">
        <v>110</v>
      </c>
      <c r="G101" s="5" t="s">
        <v>111</v>
      </c>
      <c r="H101" s="5"/>
      <c r="I101" s="6" t="n">
        <v>1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1</v>
      </c>
      <c r="O101" s="6" t="n">
        <v>1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</row>
    <row r="102" customFormat="false" ht="15" hidden="false" customHeight="false" outlineLevel="0" collapsed="false">
      <c r="A102" s="4" t="n">
        <v>99</v>
      </c>
      <c r="B102" s="4" t="n">
        <v>5</v>
      </c>
      <c r="C102" s="4" t="s">
        <v>179</v>
      </c>
      <c r="D102" s="4" t="s">
        <v>183</v>
      </c>
      <c r="E102" s="4" t="s">
        <v>42</v>
      </c>
      <c r="F102" s="5" t="s">
        <v>184</v>
      </c>
      <c r="G102" s="5" t="s">
        <v>185</v>
      </c>
      <c r="H102" s="5"/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1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</row>
    <row r="103" customFormat="false" ht="15" hidden="false" customHeight="false" outlineLevel="0" collapsed="false">
      <c r="A103" s="4" t="n">
        <v>100</v>
      </c>
      <c r="B103" s="4" t="n">
        <v>5</v>
      </c>
      <c r="C103" s="4" t="s">
        <v>179</v>
      </c>
      <c r="D103" s="4" t="s">
        <v>186</v>
      </c>
      <c r="E103" s="4" t="s">
        <v>42</v>
      </c>
      <c r="F103" s="5" t="s">
        <v>187</v>
      </c>
      <c r="G103" s="5" t="s">
        <v>31</v>
      </c>
      <c r="H103" s="5"/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2</v>
      </c>
    </row>
    <row r="104" customFormat="false" ht="15" hidden="false" customHeight="false" outlineLevel="0" collapsed="false">
      <c r="A104" s="4" t="n">
        <v>101</v>
      </c>
      <c r="B104" s="4" t="n">
        <v>5</v>
      </c>
      <c r="C104" s="4" t="s">
        <v>179</v>
      </c>
      <c r="D104" s="4" t="s">
        <v>186</v>
      </c>
      <c r="E104" s="4" t="s">
        <v>42</v>
      </c>
      <c r="F104" s="5" t="s">
        <v>188</v>
      </c>
      <c r="G104" s="5" t="s">
        <v>44</v>
      </c>
      <c r="H104" s="5"/>
      <c r="I104" s="6" t="n">
        <v>0</v>
      </c>
      <c r="J104" s="6" t="n">
        <v>0</v>
      </c>
      <c r="K104" s="6" t="n">
        <v>1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</row>
    <row r="105" customFormat="false" ht="15" hidden="false" customHeight="false" outlineLevel="0" collapsed="false">
      <c r="A105" s="4" t="n">
        <v>102</v>
      </c>
      <c r="B105" s="4" t="n">
        <v>5</v>
      </c>
      <c r="C105" s="4" t="s">
        <v>179</v>
      </c>
      <c r="D105" s="4" t="s">
        <v>189</v>
      </c>
      <c r="E105" s="4" t="s">
        <v>47</v>
      </c>
      <c r="F105" s="5" t="s">
        <v>103</v>
      </c>
      <c r="G105" s="5" t="s">
        <v>104</v>
      </c>
      <c r="H105" s="5"/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1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3</v>
      </c>
    </row>
    <row r="106" customFormat="false" ht="15" hidden="false" customHeight="false" outlineLevel="0" collapsed="false">
      <c r="A106" s="4" t="n">
        <v>103</v>
      </c>
      <c r="B106" s="4" t="n">
        <v>5</v>
      </c>
      <c r="C106" s="4" t="s">
        <v>179</v>
      </c>
      <c r="D106" s="4" t="s">
        <v>190</v>
      </c>
      <c r="E106" s="4" t="s">
        <v>38</v>
      </c>
      <c r="F106" s="5" t="s">
        <v>155</v>
      </c>
      <c r="G106" s="5" t="s">
        <v>44</v>
      </c>
      <c r="H106" s="5"/>
      <c r="I106" s="6" t="n">
        <v>0</v>
      </c>
      <c r="J106" s="6" t="n">
        <v>0</v>
      </c>
      <c r="K106" s="6" t="n">
        <v>1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</row>
    <row r="107" customFormat="false" ht="15" hidden="false" customHeight="false" outlineLevel="0" collapsed="false">
      <c r="A107" s="4" t="n">
        <v>104</v>
      </c>
      <c r="B107" s="4" t="n">
        <v>5</v>
      </c>
      <c r="C107" s="4" t="s">
        <v>179</v>
      </c>
      <c r="D107" s="4" t="s">
        <v>191</v>
      </c>
      <c r="E107" s="4" t="s">
        <v>38</v>
      </c>
      <c r="F107" s="5" t="s">
        <v>150</v>
      </c>
      <c r="G107" s="5" t="s">
        <v>49</v>
      </c>
      <c r="H107" s="5"/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1</v>
      </c>
    </row>
    <row r="108" customFormat="false" ht="15" hidden="false" customHeight="false" outlineLevel="0" collapsed="false">
      <c r="A108" s="4" t="n">
        <v>105</v>
      </c>
      <c r="B108" s="4" t="n">
        <v>5</v>
      </c>
      <c r="C108" s="4" t="s">
        <v>179</v>
      </c>
      <c r="D108" s="4" t="s">
        <v>192</v>
      </c>
      <c r="E108" s="4" t="s">
        <v>42</v>
      </c>
      <c r="F108" s="5" t="s">
        <v>75</v>
      </c>
      <c r="G108" s="5" t="s">
        <v>76</v>
      </c>
      <c r="H108" s="5"/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1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</row>
    <row r="109" customFormat="false" ht="15" hidden="false" customHeight="false" outlineLevel="0" collapsed="false">
      <c r="A109" s="4" t="n">
        <v>106</v>
      </c>
      <c r="B109" s="4" t="n">
        <v>5</v>
      </c>
      <c r="C109" s="4" t="s">
        <v>179</v>
      </c>
      <c r="D109" s="4" t="s">
        <v>193</v>
      </c>
      <c r="E109" s="4" t="s">
        <v>163</v>
      </c>
      <c r="F109" s="5" t="s">
        <v>194</v>
      </c>
      <c r="G109" s="5" t="s">
        <v>61</v>
      </c>
      <c r="H109" s="5"/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1</v>
      </c>
    </row>
    <row r="110" customFormat="false" ht="15" hidden="false" customHeight="false" outlineLevel="0" collapsed="false">
      <c r="A110" s="4" t="n">
        <v>107</v>
      </c>
      <c r="B110" s="4" t="n">
        <v>5</v>
      </c>
      <c r="C110" s="4" t="s">
        <v>179</v>
      </c>
      <c r="D110" s="4" t="s">
        <v>195</v>
      </c>
      <c r="E110" s="4" t="s">
        <v>47</v>
      </c>
      <c r="F110" s="5" t="s">
        <v>187</v>
      </c>
      <c r="G110" s="5" t="s">
        <v>31</v>
      </c>
      <c r="H110" s="5"/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2</v>
      </c>
    </row>
    <row r="111" customFormat="false" ht="15" hidden="false" customHeight="false" outlineLevel="0" collapsed="false">
      <c r="A111" s="4" t="n">
        <v>108</v>
      </c>
      <c r="B111" s="4" t="n">
        <v>5</v>
      </c>
      <c r="C111" s="4" t="s">
        <v>179</v>
      </c>
      <c r="D111" s="4" t="s">
        <v>195</v>
      </c>
      <c r="E111" s="4" t="s">
        <v>47</v>
      </c>
      <c r="F111" s="5" t="s">
        <v>196</v>
      </c>
      <c r="G111" s="5" t="s">
        <v>197</v>
      </c>
      <c r="H111" s="5"/>
      <c r="I111" s="6" t="n">
        <v>0</v>
      </c>
      <c r="J111" s="6" t="n">
        <v>0</v>
      </c>
      <c r="K111" s="6" t="n">
        <v>1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</row>
    <row r="112" customFormat="false" ht="15" hidden="false" customHeight="false" outlineLevel="0" collapsed="false">
      <c r="A112" s="4" t="n">
        <v>109</v>
      </c>
      <c r="B112" s="4" t="n">
        <v>5</v>
      </c>
      <c r="C112" s="4" t="s">
        <v>179</v>
      </c>
      <c r="D112" s="4" t="s">
        <v>198</v>
      </c>
      <c r="E112" s="4" t="s">
        <v>85</v>
      </c>
      <c r="F112" s="5" t="s">
        <v>187</v>
      </c>
      <c r="G112" s="5" t="s">
        <v>31</v>
      </c>
      <c r="H112" s="5"/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2</v>
      </c>
    </row>
    <row r="113" customFormat="false" ht="15" hidden="false" customHeight="false" outlineLevel="0" collapsed="false">
      <c r="A113" s="4" t="n">
        <v>110</v>
      </c>
      <c r="B113" s="4" t="n">
        <v>5</v>
      </c>
      <c r="C113" s="4" t="s">
        <v>179</v>
      </c>
      <c r="D113" s="4" t="s">
        <v>199</v>
      </c>
      <c r="E113" s="4" t="s">
        <v>38</v>
      </c>
      <c r="F113" s="5" t="s">
        <v>35</v>
      </c>
      <c r="G113" s="5" t="s">
        <v>36</v>
      </c>
      <c r="H113" s="5"/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1</v>
      </c>
    </row>
    <row r="114" customFormat="false" ht="15" hidden="false" customHeight="false" outlineLevel="0" collapsed="false">
      <c r="A114" s="4" t="n">
        <v>111</v>
      </c>
      <c r="B114" s="4" t="n">
        <v>5</v>
      </c>
      <c r="C114" s="4" t="s">
        <v>179</v>
      </c>
      <c r="D114" s="4" t="s">
        <v>200</v>
      </c>
      <c r="E114" s="4" t="s">
        <v>42</v>
      </c>
      <c r="F114" s="5" t="s">
        <v>201</v>
      </c>
      <c r="G114" s="5" t="s">
        <v>29</v>
      </c>
      <c r="H114" s="5"/>
      <c r="I114" s="6" t="n">
        <v>2</v>
      </c>
      <c r="J114" s="6" t="n">
        <v>1</v>
      </c>
      <c r="K114" s="6" t="n">
        <v>1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</row>
    <row r="115" customFormat="false" ht="15" hidden="false" customHeight="false" outlineLevel="0" collapsed="false">
      <c r="A115" s="4" t="n">
        <v>112</v>
      </c>
      <c r="B115" s="4" t="n">
        <v>5</v>
      </c>
      <c r="C115" s="4" t="s">
        <v>179</v>
      </c>
      <c r="D115" s="4" t="s">
        <v>200</v>
      </c>
      <c r="E115" s="4" t="s">
        <v>38</v>
      </c>
      <c r="F115" s="5" t="s">
        <v>33</v>
      </c>
      <c r="G115" s="5" t="s">
        <v>34</v>
      </c>
      <c r="H115" s="5"/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1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</row>
    <row r="116" customFormat="false" ht="15" hidden="false" customHeight="false" outlineLevel="0" collapsed="false">
      <c r="A116" s="4" t="n">
        <v>113</v>
      </c>
      <c r="B116" s="4" t="n">
        <v>5</v>
      </c>
      <c r="C116" s="4" t="s">
        <v>179</v>
      </c>
      <c r="D116" s="4" t="s">
        <v>202</v>
      </c>
      <c r="E116" s="4" t="s">
        <v>85</v>
      </c>
      <c r="F116" s="5" t="s">
        <v>122</v>
      </c>
      <c r="G116" s="5" t="s">
        <v>123</v>
      </c>
      <c r="H116" s="5"/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1</v>
      </c>
      <c r="T116" s="6" t="n">
        <v>0</v>
      </c>
      <c r="U116" s="6" t="n">
        <v>0</v>
      </c>
      <c r="V116" s="6" t="n">
        <v>0</v>
      </c>
      <c r="W116" s="6" t="n">
        <v>3</v>
      </c>
    </row>
    <row r="117" customFormat="false" ht="15" hidden="false" customHeight="false" outlineLevel="0" collapsed="false">
      <c r="A117" s="4" t="n">
        <v>114</v>
      </c>
      <c r="B117" s="4" t="n">
        <v>5</v>
      </c>
      <c r="C117" s="4" t="s">
        <v>179</v>
      </c>
      <c r="D117" s="4" t="s">
        <v>203</v>
      </c>
      <c r="E117" s="4" t="s">
        <v>85</v>
      </c>
      <c r="F117" s="5" t="s">
        <v>204</v>
      </c>
      <c r="G117" s="5" t="s">
        <v>205</v>
      </c>
      <c r="H117" s="5"/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1</v>
      </c>
      <c r="V117" s="6" t="n">
        <v>0</v>
      </c>
      <c r="W117" s="6" t="n">
        <v>0</v>
      </c>
    </row>
    <row r="118" customFormat="false" ht="15" hidden="false" customHeight="false" outlineLevel="0" collapsed="false">
      <c r="A118" s="4" t="n">
        <v>115</v>
      </c>
      <c r="B118" s="4" t="n">
        <v>5</v>
      </c>
      <c r="C118" s="4" t="s">
        <v>179</v>
      </c>
      <c r="D118" s="4" t="s">
        <v>206</v>
      </c>
      <c r="E118" s="4" t="s">
        <v>38</v>
      </c>
      <c r="F118" s="5" t="s">
        <v>58</v>
      </c>
      <c r="G118" s="5" t="s">
        <v>31</v>
      </c>
      <c r="H118" s="5"/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2</v>
      </c>
    </row>
    <row r="119" customFormat="false" ht="15" hidden="false" customHeight="false" outlineLevel="0" collapsed="false">
      <c r="A119" s="4" t="n">
        <v>116</v>
      </c>
      <c r="B119" s="4" t="n">
        <v>5</v>
      </c>
      <c r="C119" s="4" t="s">
        <v>179</v>
      </c>
      <c r="D119" s="4" t="s">
        <v>206</v>
      </c>
      <c r="E119" s="4" t="s">
        <v>38</v>
      </c>
      <c r="F119" s="5" t="s">
        <v>204</v>
      </c>
      <c r="G119" s="5" t="s">
        <v>205</v>
      </c>
      <c r="H119" s="5"/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1</v>
      </c>
      <c r="V119" s="6" t="n">
        <v>0</v>
      </c>
      <c r="W119" s="6" t="n">
        <v>0</v>
      </c>
    </row>
    <row r="120" customFormat="false" ht="15" hidden="false" customHeight="false" outlineLevel="0" collapsed="false">
      <c r="A120" s="4" t="n">
        <v>117</v>
      </c>
      <c r="B120" s="4" t="n">
        <v>6</v>
      </c>
      <c r="C120" s="4" t="s">
        <v>179</v>
      </c>
      <c r="D120" s="4" t="s">
        <v>207</v>
      </c>
      <c r="E120" s="4" t="s">
        <v>146</v>
      </c>
      <c r="F120" s="5" t="s">
        <v>208</v>
      </c>
      <c r="G120" s="5" t="s">
        <v>209</v>
      </c>
      <c r="H120" s="5"/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1</v>
      </c>
      <c r="W120" s="6" t="n">
        <v>0</v>
      </c>
    </row>
    <row r="121" customFormat="false" ht="15" hidden="false" customHeight="false" outlineLevel="0" collapsed="false">
      <c r="A121" s="4" t="n">
        <v>118</v>
      </c>
      <c r="B121" s="4" t="n">
        <v>6</v>
      </c>
      <c r="C121" s="4" t="s">
        <v>179</v>
      </c>
      <c r="D121" s="4" t="s">
        <v>210</v>
      </c>
      <c r="E121" s="4" t="s">
        <v>42</v>
      </c>
      <c r="F121" s="5" t="s">
        <v>110</v>
      </c>
      <c r="G121" s="5" t="s">
        <v>111</v>
      </c>
      <c r="H121" s="5"/>
      <c r="I121" s="6" t="n">
        <v>1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1</v>
      </c>
      <c r="O121" s="6" t="n">
        <v>1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</row>
    <row r="122" customFormat="false" ht="15" hidden="false" customHeight="false" outlineLevel="0" collapsed="false">
      <c r="A122" s="4" t="n">
        <v>119</v>
      </c>
      <c r="B122" s="4" t="n">
        <v>6</v>
      </c>
      <c r="C122" s="4" t="s">
        <v>179</v>
      </c>
      <c r="D122" s="4" t="s">
        <v>211</v>
      </c>
      <c r="E122" s="4" t="s">
        <v>42</v>
      </c>
      <c r="F122" s="5" t="s">
        <v>110</v>
      </c>
      <c r="G122" s="5" t="s">
        <v>111</v>
      </c>
      <c r="H122" s="5"/>
      <c r="I122" s="6" t="n">
        <v>1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1</v>
      </c>
      <c r="O122" s="6" t="n">
        <v>1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0</v>
      </c>
    </row>
    <row r="123" customFormat="false" ht="15" hidden="false" customHeight="false" outlineLevel="0" collapsed="false">
      <c r="A123" s="4" t="n">
        <v>120</v>
      </c>
      <c r="B123" s="4" t="n">
        <v>6</v>
      </c>
      <c r="C123" s="4" t="s">
        <v>179</v>
      </c>
      <c r="D123" s="4" t="s">
        <v>212</v>
      </c>
      <c r="E123" s="4" t="s">
        <v>42</v>
      </c>
      <c r="F123" s="5" t="s">
        <v>110</v>
      </c>
      <c r="G123" s="5" t="s">
        <v>111</v>
      </c>
      <c r="H123" s="5"/>
      <c r="I123" s="6" t="n">
        <v>1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1</v>
      </c>
      <c r="O123" s="6" t="n">
        <v>1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</row>
    <row r="124" customFormat="false" ht="15" hidden="false" customHeight="false" outlineLevel="0" collapsed="false">
      <c r="A124" s="4" t="n">
        <v>121</v>
      </c>
      <c r="B124" s="4" t="n">
        <v>6</v>
      </c>
      <c r="C124" s="4" t="s">
        <v>179</v>
      </c>
      <c r="D124" s="4" t="s">
        <v>213</v>
      </c>
      <c r="E124" s="4" t="s">
        <v>85</v>
      </c>
      <c r="F124" s="5" t="s">
        <v>208</v>
      </c>
      <c r="G124" s="5" t="s">
        <v>209</v>
      </c>
      <c r="H124" s="5"/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1</v>
      </c>
      <c r="W124" s="6" t="n">
        <v>0</v>
      </c>
    </row>
    <row r="125" customFormat="false" ht="15" hidden="false" customHeight="false" outlineLevel="0" collapsed="false">
      <c r="A125" s="4" t="n">
        <v>122</v>
      </c>
      <c r="B125" s="4" t="n">
        <v>6</v>
      </c>
      <c r="C125" s="4" t="s">
        <v>179</v>
      </c>
      <c r="D125" s="4" t="s">
        <v>214</v>
      </c>
      <c r="E125" s="4" t="s">
        <v>100</v>
      </c>
      <c r="F125" s="5" t="s">
        <v>187</v>
      </c>
      <c r="G125" s="5" t="s">
        <v>31</v>
      </c>
      <c r="H125" s="5"/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2</v>
      </c>
    </row>
    <row r="126" customFormat="false" ht="15" hidden="false" customHeight="false" outlineLevel="0" collapsed="false">
      <c r="A126" s="4" t="n">
        <v>123</v>
      </c>
      <c r="B126" s="4" t="n">
        <v>6</v>
      </c>
      <c r="C126" s="4" t="s">
        <v>179</v>
      </c>
      <c r="D126" s="4" t="s">
        <v>215</v>
      </c>
      <c r="E126" s="4" t="s">
        <v>100</v>
      </c>
      <c r="F126" s="5" t="s">
        <v>60</v>
      </c>
      <c r="G126" s="5" t="s">
        <v>61</v>
      </c>
      <c r="H126" s="5"/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1</v>
      </c>
    </row>
    <row r="127" customFormat="false" ht="15" hidden="false" customHeight="false" outlineLevel="0" collapsed="false">
      <c r="A127" s="4" t="n">
        <v>124</v>
      </c>
      <c r="B127" s="4" t="n">
        <v>6</v>
      </c>
      <c r="C127" s="4" t="s">
        <v>179</v>
      </c>
      <c r="D127" s="4" t="s">
        <v>216</v>
      </c>
      <c r="E127" s="4" t="s">
        <v>32</v>
      </c>
      <c r="F127" s="5" t="s">
        <v>60</v>
      </c>
      <c r="G127" s="5" t="s">
        <v>61</v>
      </c>
      <c r="H127" s="5"/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1</v>
      </c>
    </row>
    <row r="128" customFormat="false" ht="15" hidden="false" customHeight="false" outlineLevel="0" collapsed="false">
      <c r="A128" s="4" t="n">
        <v>125</v>
      </c>
      <c r="B128" s="4" t="n">
        <v>6</v>
      </c>
      <c r="C128" s="4" t="s">
        <v>179</v>
      </c>
      <c r="D128" s="4" t="s">
        <v>217</v>
      </c>
      <c r="E128" s="4" t="s">
        <v>136</v>
      </c>
      <c r="F128" s="5" t="s">
        <v>35</v>
      </c>
      <c r="G128" s="5" t="s">
        <v>36</v>
      </c>
      <c r="H128" s="5"/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6" t="n">
        <v>0</v>
      </c>
      <c r="V128" s="6" t="n">
        <v>0</v>
      </c>
      <c r="W128" s="6" t="n">
        <v>1</v>
      </c>
    </row>
    <row r="129" customFormat="false" ht="15" hidden="false" customHeight="false" outlineLevel="0" collapsed="false">
      <c r="A129" s="4" t="n">
        <v>126</v>
      </c>
      <c r="B129" s="4" t="n">
        <v>6</v>
      </c>
      <c r="C129" s="4" t="s">
        <v>179</v>
      </c>
      <c r="D129" s="4" t="s">
        <v>218</v>
      </c>
      <c r="E129" s="4" t="s">
        <v>27</v>
      </c>
      <c r="F129" s="5" t="s">
        <v>89</v>
      </c>
      <c r="G129" s="5" t="s">
        <v>29</v>
      </c>
      <c r="H129" s="5"/>
      <c r="I129" s="6" t="n">
        <v>2</v>
      </c>
      <c r="J129" s="6" t="n">
        <v>1</v>
      </c>
      <c r="K129" s="6" t="n">
        <v>1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</row>
    <row r="130" customFormat="false" ht="15" hidden="false" customHeight="false" outlineLevel="0" collapsed="false">
      <c r="A130" s="4" t="n">
        <v>127</v>
      </c>
      <c r="B130" s="4" t="n">
        <v>6</v>
      </c>
      <c r="C130" s="4" t="s">
        <v>179</v>
      </c>
      <c r="D130" s="4" t="s">
        <v>218</v>
      </c>
      <c r="E130" s="4" t="s">
        <v>136</v>
      </c>
      <c r="F130" s="5" t="s">
        <v>33</v>
      </c>
      <c r="G130" s="5" t="s">
        <v>34</v>
      </c>
      <c r="H130" s="5"/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1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</row>
    <row r="131" customFormat="false" ht="15" hidden="false" customHeight="false" outlineLevel="0" collapsed="false">
      <c r="A131" s="4" t="n">
        <v>128</v>
      </c>
      <c r="B131" s="4" t="n">
        <v>6</v>
      </c>
      <c r="C131" s="4" t="s">
        <v>179</v>
      </c>
      <c r="D131" s="4" t="s">
        <v>219</v>
      </c>
      <c r="E131" s="4" t="s">
        <v>42</v>
      </c>
      <c r="F131" s="5" t="s">
        <v>208</v>
      </c>
      <c r="G131" s="5" t="s">
        <v>209</v>
      </c>
      <c r="H131" s="5"/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1</v>
      </c>
      <c r="W131" s="6" t="n">
        <v>0</v>
      </c>
    </row>
    <row r="132" customFormat="false" ht="15" hidden="false" customHeight="false" outlineLevel="0" collapsed="false">
      <c r="A132" s="4" t="n">
        <v>129</v>
      </c>
      <c r="B132" s="4" t="n">
        <v>6</v>
      </c>
      <c r="C132" s="4" t="s">
        <v>179</v>
      </c>
      <c r="D132" s="4" t="s">
        <v>220</v>
      </c>
      <c r="E132" s="4" t="s">
        <v>27</v>
      </c>
      <c r="F132" s="5" t="s">
        <v>39</v>
      </c>
      <c r="G132" s="5" t="s">
        <v>39</v>
      </c>
      <c r="H132" s="5"/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0</v>
      </c>
      <c r="U132" s="6" t="n">
        <v>0</v>
      </c>
      <c r="V132" s="6" t="n">
        <v>0</v>
      </c>
      <c r="W132" s="6" t="n">
        <v>1</v>
      </c>
    </row>
    <row r="133" customFormat="false" ht="15" hidden="false" customHeight="false" outlineLevel="0" collapsed="false">
      <c r="A133" s="4" t="n">
        <v>130</v>
      </c>
      <c r="B133" s="4" t="n">
        <v>6</v>
      </c>
      <c r="C133" s="4" t="s">
        <v>179</v>
      </c>
      <c r="D133" s="4" t="s">
        <v>221</v>
      </c>
      <c r="E133" s="4" t="s">
        <v>27</v>
      </c>
      <c r="F133" s="5" t="s">
        <v>173</v>
      </c>
      <c r="G133" s="5" t="s">
        <v>174</v>
      </c>
      <c r="H133" s="5"/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1</v>
      </c>
      <c r="U133" s="6" t="n">
        <v>0</v>
      </c>
      <c r="V133" s="6" t="n">
        <v>0</v>
      </c>
      <c r="W133" s="6" t="n">
        <v>1</v>
      </c>
    </row>
    <row r="134" customFormat="false" ht="15" hidden="false" customHeight="false" outlineLevel="0" collapsed="false">
      <c r="A134" s="4" t="n">
        <v>131</v>
      </c>
      <c r="B134" s="4" t="n">
        <v>6</v>
      </c>
      <c r="C134" s="4" t="s">
        <v>179</v>
      </c>
      <c r="D134" s="4" t="s">
        <v>222</v>
      </c>
      <c r="E134" s="4" t="s">
        <v>27</v>
      </c>
      <c r="F134" s="5" t="s">
        <v>223</v>
      </c>
      <c r="G134" s="5" t="s">
        <v>76</v>
      </c>
      <c r="H134" s="5"/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1</v>
      </c>
      <c r="R134" s="6" t="n">
        <v>0</v>
      </c>
      <c r="S134" s="6" t="n">
        <v>0</v>
      </c>
      <c r="T134" s="6" t="n">
        <v>0</v>
      </c>
      <c r="U134" s="6" t="n">
        <v>0</v>
      </c>
      <c r="V134" s="6" t="n">
        <v>0</v>
      </c>
      <c r="W134" s="6" t="n">
        <v>0</v>
      </c>
    </row>
    <row r="135" customFormat="false" ht="15" hidden="false" customHeight="false" outlineLevel="0" collapsed="false">
      <c r="A135" s="4" t="n">
        <v>132</v>
      </c>
      <c r="B135" s="4" t="n">
        <v>6</v>
      </c>
      <c r="C135" s="4" t="s">
        <v>179</v>
      </c>
      <c r="D135" s="4" t="s">
        <v>222</v>
      </c>
      <c r="E135" s="4" t="s">
        <v>27</v>
      </c>
      <c r="F135" s="5" t="s">
        <v>224</v>
      </c>
      <c r="G135" s="5" t="s">
        <v>68</v>
      </c>
      <c r="H135" s="5"/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2</v>
      </c>
    </row>
    <row r="136" customFormat="false" ht="15" hidden="false" customHeight="false" outlineLevel="0" collapsed="false">
      <c r="A136" s="4" t="n">
        <v>133</v>
      </c>
      <c r="B136" s="4" t="n">
        <v>6</v>
      </c>
      <c r="C136" s="4" t="s">
        <v>179</v>
      </c>
      <c r="D136" s="4" t="s">
        <v>225</v>
      </c>
      <c r="E136" s="4" t="s">
        <v>27</v>
      </c>
      <c r="F136" s="5" t="s">
        <v>226</v>
      </c>
      <c r="G136" s="5" t="s">
        <v>205</v>
      </c>
      <c r="H136" s="5"/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1</v>
      </c>
      <c r="V136" s="6" t="n">
        <v>0</v>
      </c>
      <c r="W136" s="6" t="n">
        <v>0</v>
      </c>
    </row>
    <row r="137" customFormat="false" ht="15" hidden="false" customHeight="false" outlineLevel="0" collapsed="false">
      <c r="A137" s="4" t="n">
        <v>134</v>
      </c>
      <c r="B137" s="4" t="n">
        <v>6</v>
      </c>
      <c r="C137" s="4" t="s">
        <v>179</v>
      </c>
      <c r="D137" s="4" t="s">
        <v>227</v>
      </c>
      <c r="E137" s="4" t="s">
        <v>136</v>
      </c>
      <c r="F137" s="5" t="s">
        <v>58</v>
      </c>
      <c r="G137" s="5" t="s">
        <v>31</v>
      </c>
      <c r="H137" s="5"/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2</v>
      </c>
    </row>
    <row r="138" customFormat="false" ht="15" hidden="false" customHeight="false" outlineLevel="0" collapsed="false">
      <c r="A138" s="7" t="n">
        <v>135</v>
      </c>
      <c r="B138" s="7" t="n">
        <v>6</v>
      </c>
      <c r="C138" s="7" t="s">
        <v>179</v>
      </c>
      <c r="D138" s="7" t="s">
        <v>228</v>
      </c>
      <c r="E138" s="7" t="s">
        <v>136</v>
      </c>
      <c r="F138" s="8" t="s">
        <v>103</v>
      </c>
      <c r="G138" s="8" t="s">
        <v>104</v>
      </c>
      <c r="H138" s="8" t="s">
        <v>229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1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3</v>
      </c>
    </row>
    <row r="139" customFormat="false" ht="15" hidden="false" customHeight="false" outlineLevel="0" collapsed="false">
      <c r="A139" s="4" t="n">
        <v>136</v>
      </c>
      <c r="B139" s="4" t="n">
        <v>6</v>
      </c>
      <c r="C139" s="4" t="s">
        <v>179</v>
      </c>
      <c r="D139" s="4" t="s">
        <v>230</v>
      </c>
      <c r="E139" s="4" t="s">
        <v>136</v>
      </c>
      <c r="F139" s="5" t="s">
        <v>35</v>
      </c>
      <c r="G139" s="5" t="s">
        <v>36</v>
      </c>
      <c r="H139" s="5"/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0</v>
      </c>
      <c r="W139" s="6" t="n">
        <v>1</v>
      </c>
    </row>
    <row r="140" customFormat="false" ht="15" hidden="false" customHeight="false" outlineLevel="0" collapsed="false">
      <c r="A140" s="7" t="n">
        <v>137</v>
      </c>
      <c r="B140" s="7" t="n">
        <v>6</v>
      </c>
      <c r="C140" s="7" t="s">
        <v>179</v>
      </c>
      <c r="D140" s="7" t="s">
        <v>230</v>
      </c>
      <c r="E140" s="7" t="s">
        <v>146</v>
      </c>
      <c r="F140" s="8" t="s">
        <v>231</v>
      </c>
      <c r="G140" s="8" t="s">
        <v>52</v>
      </c>
      <c r="H140" s="8" t="s">
        <v>232</v>
      </c>
      <c r="I140" s="9" t="n">
        <v>0</v>
      </c>
      <c r="J140" s="9" t="n">
        <v>0</v>
      </c>
      <c r="K140" s="9" t="n">
        <v>1</v>
      </c>
      <c r="L140" s="9" t="n">
        <v>0</v>
      </c>
      <c r="M140" s="9" t="n">
        <v>1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</row>
    <row r="141" customFormat="false" ht="15" hidden="false" customHeight="false" outlineLevel="0" collapsed="false">
      <c r="A141" s="4" t="n">
        <v>138</v>
      </c>
      <c r="B141" s="4" t="n">
        <v>6</v>
      </c>
      <c r="C141" s="4" t="s">
        <v>179</v>
      </c>
      <c r="D141" s="4" t="s">
        <v>233</v>
      </c>
      <c r="E141" s="4" t="s">
        <v>100</v>
      </c>
      <c r="F141" s="5" t="s">
        <v>75</v>
      </c>
      <c r="G141" s="5" t="s">
        <v>76</v>
      </c>
      <c r="H141" s="5"/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1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</row>
    <row r="142" customFormat="false" ht="15" hidden="false" customHeight="false" outlineLevel="0" collapsed="false">
      <c r="A142" s="7" t="n">
        <v>139</v>
      </c>
      <c r="B142" s="7" t="n">
        <v>6</v>
      </c>
      <c r="C142" s="7" t="s">
        <v>179</v>
      </c>
      <c r="D142" s="7" t="s">
        <v>234</v>
      </c>
      <c r="E142" s="7" t="s">
        <v>27</v>
      </c>
      <c r="F142" s="8" t="s">
        <v>81</v>
      </c>
      <c r="G142" s="8" t="s">
        <v>82</v>
      </c>
      <c r="H142" s="8" t="s">
        <v>235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1</v>
      </c>
      <c r="V142" s="9" t="n">
        <v>0</v>
      </c>
      <c r="W142" s="9" t="n">
        <v>0</v>
      </c>
    </row>
    <row r="143" customFormat="false" ht="15" hidden="false" customHeight="false" outlineLevel="0" collapsed="false">
      <c r="A143" s="4" t="n">
        <v>140</v>
      </c>
      <c r="B143" s="4" t="n">
        <v>6</v>
      </c>
      <c r="C143" s="4" t="s">
        <v>179</v>
      </c>
      <c r="D143" s="4" t="s">
        <v>236</v>
      </c>
      <c r="E143" s="4" t="s">
        <v>146</v>
      </c>
      <c r="F143" s="5" t="s">
        <v>237</v>
      </c>
      <c r="G143" s="5" t="s">
        <v>111</v>
      </c>
      <c r="H143" s="5"/>
      <c r="I143" s="6" t="n">
        <v>1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1</v>
      </c>
      <c r="O143" s="6" t="n">
        <v>1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</row>
    <row r="144" customFormat="false" ht="15" hidden="false" customHeight="false" outlineLevel="0" collapsed="false">
      <c r="A144" s="4" t="n">
        <v>141</v>
      </c>
      <c r="B144" s="4" t="n">
        <v>6</v>
      </c>
      <c r="C144" s="4" t="s">
        <v>179</v>
      </c>
      <c r="D144" s="4" t="s">
        <v>238</v>
      </c>
      <c r="E144" s="4" t="s">
        <v>146</v>
      </c>
      <c r="F144" s="5" t="s">
        <v>239</v>
      </c>
      <c r="G144" s="5" t="s">
        <v>185</v>
      </c>
      <c r="H144" s="5"/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1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</row>
    <row r="145" customFormat="false" ht="15" hidden="false" customHeight="false" outlineLevel="0" collapsed="false">
      <c r="A145" s="7" t="n">
        <v>142</v>
      </c>
      <c r="B145" s="7" t="n">
        <v>7</v>
      </c>
      <c r="C145" s="7" t="s">
        <v>179</v>
      </c>
      <c r="D145" s="7" t="s">
        <v>240</v>
      </c>
      <c r="E145" s="7" t="s">
        <v>136</v>
      </c>
      <c r="F145" s="8" t="s">
        <v>241</v>
      </c>
      <c r="G145" s="8" t="s">
        <v>242</v>
      </c>
      <c r="H145" s="8" t="s">
        <v>232</v>
      </c>
      <c r="I145" s="9" t="n">
        <v>3</v>
      </c>
      <c r="J145" s="9" t="n">
        <v>1</v>
      </c>
      <c r="K145" s="9" t="n">
        <v>1</v>
      </c>
      <c r="L145" s="9" t="n">
        <v>1</v>
      </c>
      <c r="M145" s="9" t="n">
        <v>1</v>
      </c>
      <c r="N145" s="9" t="n">
        <v>0</v>
      </c>
      <c r="O145" s="9" t="n">
        <v>0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</row>
    <row r="146" customFormat="false" ht="15" hidden="false" customHeight="false" outlineLevel="0" collapsed="false">
      <c r="A146" s="4" t="n">
        <v>143</v>
      </c>
      <c r="B146" s="4" t="n">
        <v>7</v>
      </c>
      <c r="C146" s="4" t="s">
        <v>179</v>
      </c>
      <c r="D146" s="4" t="s">
        <v>240</v>
      </c>
      <c r="E146" s="4" t="s">
        <v>121</v>
      </c>
      <c r="F146" s="5" t="s">
        <v>243</v>
      </c>
      <c r="G146" s="5" t="s">
        <v>34</v>
      </c>
      <c r="H146" s="5"/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1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</row>
    <row r="147" customFormat="false" ht="15" hidden="false" customHeight="false" outlineLevel="0" collapsed="false">
      <c r="A147" s="4" t="n">
        <v>144</v>
      </c>
      <c r="B147" s="4" t="n">
        <v>7</v>
      </c>
      <c r="C147" s="4" t="s">
        <v>179</v>
      </c>
      <c r="D147" s="4" t="s">
        <v>244</v>
      </c>
      <c r="E147" s="4" t="s">
        <v>146</v>
      </c>
      <c r="F147" s="5" t="s">
        <v>245</v>
      </c>
      <c r="G147" s="5" t="s">
        <v>246</v>
      </c>
      <c r="H147" s="5"/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1</v>
      </c>
      <c r="V147" s="6" t="n">
        <v>0</v>
      </c>
      <c r="W147" s="6" t="n">
        <v>0</v>
      </c>
    </row>
    <row r="148" customFormat="false" ht="15" hidden="false" customHeight="false" outlineLevel="0" collapsed="false">
      <c r="A148" s="4" t="n">
        <v>145</v>
      </c>
      <c r="B148" s="4" t="n">
        <v>7</v>
      </c>
      <c r="C148" s="4" t="s">
        <v>179</v>
      </c>
      <c r="D148" s="4" t="s">
        <v>247</v>
      </c>
      <c r="E148" s="4" t="s">
        <v>136</v>
      </c>
      <c r="F148" s="5" t="s">
        <v>208</v>
      </c>
      <c r="G148" s="5" t="s">
        <v>209</v>
      </c>
      <c r="H148" s="5"/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6" t="n">
        <v>0</v>
      </c>
      <c r="V148" s="6" t="n">
        <v>1</v>
      </c>
      <c r="W148" s="6" t="n">
        <v>0</v>
      </c>
    </row>
    <row r="149" customFormat="false" ht="15" hidden="false" customHeight="false" outlineLevel="0" collapsed="false">
      <c r="A149" s="4" t="n">
        <v>146</v>
      </c>
      <c r="B149" s="4" t="n">
        <v>7</v>
      </c>
      <c r="C149" s="4" t="s">
        <v>179</v>
      </c>
      <c r="D149" s="4" t="s">
        <v>248</v>
      </c>
      <c r="E149" s="4" t="s">
        <v>146</v>
      </c>
      <c r="F149" s="5" t="s">
        <v>187</v>
      </c>
      <c r="G149" s="5" t="s">
        <v>31</v>
      </c>
      <c r="H149" s="5"/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0</v>
      </c>
      <c r="W149" s="6" t="n">
        <v>2</v>
      </c>
    </row>
    <row r="150" customFormat="false" ht="15" hidden="false" customHeight="false" outlineLevel="0" collapsed="false">
      <c r="A150" s="4" t="n">
        <v>147</v>
      </c>
      <c r="B150" s="4" t="n">
        <v>7</v>
      </c>
      <c r="C150" s="4" t="s">
        <v>179</v>
      </c>
      <c r="D150" s="4" t="s">
        <v>249</v>
      </c>
      <c r="E150" s="4" t="s">
        <v>146</v>
      </c>
      <c r="F150" s="5" t="s">
        <v>187</v>
      </c>
      <c r="G150" s="5" t="s">
        <v>31</v>
      </c>
      <c r="H150" s="5"/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2</v>
      </c>
    </row>
    <row r="151" customFormat="false" ht="15" hidden="false" customHeight="false" outlineLevel="0" collapsed="false">
      <c r="A151" s="4" t="n">
        <v>148</v>
      </c>
      <c r="B151" s="4" t="n">
        <v>7</v>
      </c>
      <c r="C151" s="4" t="s">
        <v>179</v>
      </c>
      <c r="D151" s="4" t="s">
        <v>250</v>
      </c>
      <c r="E151" s="4" t="s">
        <v>146</v>
      </c>
      <c r="F151" s="5" t="s">
        <v>60</v>
      </c>
      <c r="G151" s="5" t="s">
        <v>61</v>
      </c>
      <c r="H151" s="5"/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0</v>
      </c>
      <c r="W151" s="6" t="n">
        <v>1</v>
      </c>
    </row>
    <row r="152" customFormat="false" ht="15" hidden="false" customHeight="false" outlineLevel="0" collapsed="false">
      <c r="A152" s="4" t="n">
        <v>149</v>
      </c>
      <c r="B152" s="4" t="n">
        <v>7</v>
      </c>
      <c r="C152" s="4" t="s">
        <v>179</v>
      </c>
      <c r="D152" s="4" t="s">
        <v>251</v>
      </c>
      <c r="E152" s="4" t="s">
        <v>136</v>
      </c>
      <c r="F152" s="5" t="s">
        <v>187</v>
      </c>
      <c r="G152" s="5" t="s">
        <v>31</v>
      </c>
      <c r="H152" s="5"/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6" t="n">
        <v>0</v>
      </c>
      <c r="V152" s="6" t="n">
        <v>0</v>
      </c>
      <c r="W152" s="6" t="n">
        <v>2</v>
      </c>
    </row>
    <row r="153" customFormat="false" ht="15" hidden="false" customHeight="false" outlineLevel="0" collapsed="false">
      <c r="A153" s="4" t="n">
        <v>150</v>
      </c>
      <c r="B153" s="4" t="n">
        <v>7</v>
      </c>
      <c r="C153" s="4" t="s">
        <v>179</v>
      </c>
      <c r="D153" s="4" t="s">
        <v>252</v>
      </c>
      <c r="E153" s="4" t="s">
        <v>136</v>
      </c>
      <c r="F153" s="5" t="s">
        <v>253</v>
      </c>
      <c r="G153" s="5" t="s">
        <v>254</v>
      </c>
      <c r="H153" s="5"/>
      <c r="I153" s="6" t="n">
        <v>0</v>
      </c>
      <c r="J153" s="6" t="n">
        <v>0</v>
      </c>
      <c r="K153" s="6" t="n">
        <v>1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</row>
    <row r="154" customFormat="false" ht="15" hidden="false" customHeight="false" outlineLevel="0" collapsed="false">
      <c r="A154" s="4" t="n">
        <v>151</v>
      </c>
      <c r="B154" s="4" t="n">
        <v>7</v>
      </c>
      <c r="C154" s="4" t="s">
        <v>179</v>
      </c>
      <c r="D154" s="4" t="s">
        <v>255</v>
      </c>
      <c r="E154" s="4" t="s">
        <v>121</v>
      </c>
      <c r="F154" s="5" t="s">
        <v>256</v>
      </c>
      <c r="G154" s="5" t="s">
        <v>49</v>
      </c>
      <c r="H154" s="5"/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6" t="n">
        <v>0</v>
      </c>
      <c r="V154" s="6" t="n">
        <v>0</v>
      </c>
      <c r="W154" s="6" t="n">
        <v>1</v>
      </c>
    </row>
    <row r="155" customFormat="false" ht="15" hidden="false" customHeight="false" outlineLevel="0" collapsed="false">
      <c r="A155" s="4" t="n">
        <v>152</v>
      </c>
      <c r="B155" s="4" t="n">
        <v>7</v>
      </c>
      <c r="C155" s="4" t="s">
        <v>179</v>
      </c>
      <c r="D155" s="4" t="s">
        <v>257</v>
      </c>
      <c r="E155" s="4" t="s">
        <v>258</v>
      </c>
      <c r="F155" s="5" t="s">
        <v>75</v>
      </c>
      <c r="G155" s="5" t="s">
        <v>76</v>
      </c>
      <c r="H155" s="5"/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1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0</v>
      </c>
      <c r="W155" s="6" t="n">
        <v>0</v>
      </c>
    </row>
    <row r="156" customFormat="false" ht="15" hidden="false" customHeight="false" outlineLevel="0" collapsed="false">
      <c r="A156" s="4" t="n">
        <v>153</v>
      </c>
      <c r="B156" s="4" t="n">
        <v>7</v>
      </c>
      <c r="C156" s="4" t="s">
        <v>179</v>
      </c>
      <c r="D156" s="4" t="s">
        <v>259</v>
      </c>
      <c r="E156" s="4" t="s">
        <v>258</v>
      </c>
      <c r="F156" s="5" t="s">
        <v>260</v>
      </c>
      <c r="G156" s="5" t="s">
        <v>79</v>
      </c>
      <c r="H156" s="5"/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3</v>
      </c>
    </row>
    <row r="157" customFormat="false" ht="15" hidden="false" customHeight="false" outlineLevel="0" collapsed="false">
      <c r="A157" s="4" t="n">
        <v>154</v>
      </c>
      <c r="B157" s="4" t="n">
        <v>7</v>
      </c>
      <c r="C157" s="4" t="s">
        <v>179</v>
      </c>
      <c r="D157" s="4" t="s">
        <v>261</v>
      </c>
      <c r="E157" s="4" t="s">
        <v>258</v>
      </c>
      <c r="F157" s="5" t="s">
        <v>208</v>
      </c>
      <c r="G157" s="5" t="s">
        <v>209</v>
      </c>
      <c r="H157" s="5"/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1</v>
      </c>
      <c r="W157" s="6" t="n">
        <v>0</v>
      </c>
    </row>
    <row r="158" customFormat="false" ht="15" hidden="false" customHeight="false" outlineLevel="0" collapsed="false">
      <c r="A158" s="4" t="n">
        <v>155</v>
      </c>
      <c r="B158" s="4" t="n">
        <v>7</v>
      </c>
      <c r="C158" s="4" t="s">
        <v>179</v>
      </c>
      <c r="D158" s="4" t="s">
        <v>262</v>
      </c>
      <c r="E158" s="4" t="s">
        <v>85</v>
      </c>
      <c r="F158" s="5" t="s">
        <v>75</v>
      </c>
      <c r="G158" s="5" t="s">
        <v>76</v>
      </c>
      <c r="H158" s="5"/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1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</row>
    <row r="159" customFormat="false" ht="15" hidden="false" customHeight="false" outlineLevel="0" collapsed="false">
      <c r="A159" s="4" t="n">
        <v>156</v>
      </c>
      <c r="B159" s="4" t="n">
        <v>7</v>
      </c>
      <c r="C159" s="4" t="s">
        <v>179</v>
      </c>
      <c r="D159" s="4" t="s">
        <v>263</v>
      </c>
      <c r="E159" s="4" t="s">
        <v>85</v>
      </c>
      <c r="F159" s="5" t="s">
        <v>60</v>
      </c>
      <c r="G159" s="5" t="s">
        <v>61</v>
      </c>
      <c r="H159" s="5"/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1</v>
      </c>
    </row>
    <row r="160" customFormat="false" ht="15" hidden="false" customHeight="false" outlineLevel="0" collapsed="false">
      <c r="A160" s="4" t="n">
        <v>157</v>
      </c>
      <c r="B160" s="4" t="n">
        <v>7</v>
      </c>
      <c r="C160" s="4" t="s">
        <v>179</v>
      </c>
      <c r="D160" s="4" t="s">
        <v>264</v>
      </c>
      <c r="E160" s="4" t="s">
        <v>136</v>
      </c>
      <c r="F160" s="5" t="s">
        <v>265</v>
      </c>
      <c r="G160" s="5" t="s">
        <v>266</v>
      </c>
      <c r="H160" s="5"/>
      <c r="I160" s="6" t="n">
        <v>2</v>
      </c>
      <c r="J160" s="6" t="n">
        <v>1</v>
      </c>
      <c r="K160" s="6" t="n">
        <v>1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</row>
    <row r="161" customFormat="false" ht="15" hidden="false" customHeight="false" outlineLevel="0" collapsed="false">
      <c r="A161" s="4" t="n">
        <v>158</v>
      </c>
      <c r="B161" s="4" t="n">
        <v>7</v>
      </c>
      <c r="C161" s="4" t="s">
        <v>179</v>
      </c>
      <c r="D161" s="4" t="s">
        <v>264</v>
      </c>
      <c r="E161" s="4" t="s">
        <v>85</v>
      </c>
      <c r="F161" s="5" t="s">
        <v>33</v>
      </c>
      <c r="G161" s="5" t="s">
        <v>34</v>
      </c>
      <c r="H161" s="5"/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1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</row>
    <row r="162" customFormat="false" ht="15" hidden="false" customHeight="false" outlineLevel="0" collapsed="false">
      <c r="A162" s="4" t="n">
        <v>159</v>
      </c>
      <c r="B162" s="4" t="n">
        <v>7</v>
      </c>
      <c r="C162" s="4" t="s">
        <v>179</v>
      </c>
      <c r="D162" s="4" t="s">
        <v>267</v>
      </c>
      <c r="E162" s="4" t="s">
        <v>38</v>
      </c>
      <c r="F162" s="5" t="s">
        <v>122</v>
      </c>
      <c r="G162" s="5" t="s">
        <v>123</v>
      </c>
      <c r="H162" s="5"/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  <c r="S162" s="6" t="n">
        <v>1</v>
      </c>
      <c r="T162" s="6" t="n">
        <v>0</v>
      </c>
      <c r="U162" s="6" t="n">
        <v>0</v>
      </c>
      <c r="V162" s="6" t="n">
        <v>0</v>
      </c>
      <c r="W162" s="6" t="n">
        <v>3</v>
      </c>
    </row>
    <row r="163" customFormat="false" ht="15" hidden="false" customHeight="false" outlineLevel="0" collapsed="false">
      <c r="A163" s="4" t="n">
        <v>160</v>
      </c>
      <c r="B163" s="4" t="n">
        <v>7</v>
      </c>
      <c r="C163" s="4" t="s">
        <v>179</v>
      </c>
      <c r="D163" s="4" t="s">
        <v>268</v>
      </c>
      <c r="E163" s="4" t="s">
        <v>38</v>
      </c>
      <c r="F163" s="5" t="s">
        <v>58</v>
      </c>
      <c r="G163" s="5" t="s">
        <v>31</v>
      </c>
      <c r="H163" s="5"/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2</v>
      </c>
    </row>
    <row r="164" customFormat="false" ht="15" hidden="false" customHeight="false" outlineLevel="0" collapsed="false">
      <c r="A164" s="4" t="n">
        <v>161</v>
      </c>
      <c r="B164" s="4" t="n">
        <v>7</v>
      </c>
      <c r="C164" s="4" t="s">
        <v>179</v>
      </c>
      <c r="D164" s="4" t="s">
        <v>269</v>
      </c>
      <c r="E164" s="4" t="s">
        <v>38</v>
      </c>
      <c r="F164" s="5" t="s">
        <v>270</v>
      </c>
      <c r="G164" s="5" t="s">
        <v>271</v>
      </c>
      <c r="H164" s="5"/>
      <c r="I164" s="6" t="n">
        <v>2</v>
      </c>
      <c r="J164" s="6" t="n">
        <v>1</v>
      </c>
      <c r="K164" s="6" t="n">
        <v>1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6" t="n">
        <v>0</v>
      </c>
      <c r="V164" s="6" t="n">
        <v>0</v>
      </c>
      <c r="W164" s="6" t="n">
        <v>0</v>
      </c>
    </row>
    <row r="165" customFormat="false" ht="15" hidden="false" customHeight="false" outlineLevel="0" collapsed="false">
      <c r="A165" s="4" t="n">
        <v>162</v>
      </c>
      <c r="B165" s="4" t="n">
        <v>7</v>
      </c>
      <c r="C165" s="4" t="s">
        <v>179</v>
      </c>
      <c r="D165" s="4" t="s">
        <v>272</v>
      </c>
      <c r="E165" s="4" t="s">
        <v>136</v>
      </c>
      <c r="F165" s="5" t="s">
        <v>208</v>
      </c>
      <c r="G165" s="5" t="s">
        <v>209</v>
      </c>
      <c r="H165" s="5"/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1</v>
      </c>
      <c r="W165" s="6" t="n">
        <v>0</v>
      </c>
    </row>
    <row r="166" customFormat="false" ht="15" hidden="false" customHeight="false" outlineLevel="0" collapsed="false">
      <c r="A166" s="4" t="n">
        <v>163</v>
      </c>
      <c r="B166" s="4" t="n">
        <v>7</v>
      </c>
      <c r="C166" s="4" t="s">
        <v>179</v>
      </c>
      <c r="D166" s="4" t="s">
        <v>273</v>
      </c>
      <c r="E166" s="4" t="s">
        <v>47</v>
      </c>
      <c r="F166" s="5" t="s">
        <v>274</v>
      </c>
      <c r="G166" s="5" t="s">
        <v>246</v>
      </c>
      <c r="H166" s="5"/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6" t="n">
        <v>1</v>
      </c>
      <c r="V166" s="6" t="n">
        <v>0</v>
      </c>
      <c r="W166" s="6" t="n">
        <v>0</v>
      </c>
    </row>
    <row r="167" customFormat="false" ht="15" hidden="false" customHeight="false" outlineLevel="0" collapsed="false">
      <c r="A167" s="4" t="n">
        <v>164</v>
      </c>
      <c r="B167" s="4" t="n">
        <v>7</v>
      </c>
      <c r="C167" s="4" t="s">
        <v>179</v>
      </c>
      <c r="D167" s="4" t="s">
        <v>275</v>
      </c>
      <c r="E167" s="4" t="s">
        <v>85</v>
      </c>
      <c r="F167" s="5" t="s">
        <v>276</v>
      </c>
      <c r="G167" s="5" t="s">
        <v>174</v>
      </c>
      <c r="H167" s="5"/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1</v>
      </c>
      <c r="U167" s="6" t="n">
        <v>0</v>
      </c>
      <c r="V167" s="6" t="n">
        <v>0</v>
      </c>
      <c r="W167" s="6" t="n">
        <v>1</v>
      </c>
    </row>
    <row r="168" customFormat="false" ht="15" hidden="false" customHeight="false" outlineLevel="0" collapsed="false">
      <c r="A168" s="4" t="n">
        <v>165</v>
      </c>
      <c r="B168" s="4" t="n">
        <v>7</v>
      </c>
      <c r="C168" s="4" t="s">
        <v>179</v>
      </c>
      <c r="D168" s="4" t="s">
        <v>277</v>
      </c>
      <c r="E168" s="4" t="s">
        <v>85</v>
      </c>
      <c r="F168" s="5" t="s">
        <v>75</v>
      </c>
      <c r="G168" s="5" t="s">
        <v>76</v>
      </c>
      <c r="H168" s="5"/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1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</row>
    <row r="169" customFormat="false" ht="15" hidden="false" customHeight="false" outlineLevel="0" collapsed="false">
      <c r="A169" s="4" t="n">
        <v>166</v>
      </c>
      <c r="B169" s="4" t="n">
        <v>8</v>
      </c>
      <c r="C169" s="4" t="s">
        <v>179</v>
      </c>
      <c r="D169" s="4" t="s">
        <v>278</v>
      </c>
      <c r="E169" s="4" t="s">
        <v>85</v>
      </c>
      <c r="F169" s="5" t="s">
        <v>60</v>
      </c>
      <c r="G169" s="5" t="s">
        <v>61</v>
      </c>
      <c r="H169" s="5"/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1</v>
      </c>
    </row>
    <row r="170" customFormat="false" ht="15" hidden="false" customHeight="false" outlineLevel="0" collapsed="false">
      <c r="A170" s="7" t="n">
        <v>167</v>
      </c>
      <c r="B170" s="7" t="n">
        <v>8</v>
      </c>
      <c r="C170" s="7" t="s">
        <v>179</v>
      </c>
      <c r="D170" s="7" t="s">
        <v>279</v>
      </c>
      <c r="E170" s="7" t="s">
        <v>38</v>
      </c>
      <c r="F170" s="8" t="s">
        <v>280</v>
      </c>
      <c r="G170" s="8" t="s">
        <v>52</v>
      </c>
      <c r="H170" s="8" t="s">
        <v>232</v>
      </c>
      <c r="I170" s="9" t="n">
        <v>0</v>
      </c>
      <c r="J170" s="9" t="n">
        <v>0</v>
      </c>
      <c r="K170" s="9" t="n">
        <v>1</v>
      </c>
      <c r="L170" s="9" t="n">
        <v>0</v>
      </c>
      <c r="M170" s="9" t="n">
        <v>1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</row>
    <row r="171" customFormat="false" ht="15" hidden="false" customHeight="false" outlineLevel="0" collapsed="false">
      <c r="A171" s="4" t="n">
        <v>168</v>
      </c>
      <c r="B171" s="4" t="n">
        <v>8</v>
      </c>
      <c r="C171" s="4" t="s">
        <v>179</v>
      </c>
      <c r="D171" s="4" t="s">
        <v>281</v>
      </c>
      <c r="E171" s="4" t="s">
        <v>85</v>
      </c>
      <c r="F171" s="5" t="s">
        <v>58</v>
      </c>
      <c r="G171" s="5" t="s">
        <v>31</v>
      </c>
      <c r="H171" s="5"/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2</v>
      </c>
    </row>
    <row r="172" customFormat="false" ht="15" hidden="false" customHeight="false" outlineLevel="0" collapsed="false">
      <c r="A172" s="4" t="n">
        <v>169</v>
      </c>
      <c r="B172" s="4" t="n">
        <v>8</v>
      </c>
      <c r="C172" s="4" t="s">
        <v>179</v>
      </c>
      <c r="D172" s="4" t="s">
        <v>282</v>
      </c>
      <c r="E172" s="4" t="s">
        <v>85</v>
      </c>
      <c r="F172" s="5" t="s">
        <v>35</v>
      </c>
      <c r="G172" s="5" t="s">
        <v>36</v>
      </c>
      <c r="H172" s="5"/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0</v>
      </c>
      <c r="U172" s="6" t="n">
        <v>0</v>
      </c>
      <c r="V172" s="6" t="n">
        <v>0</v>
      </c>
      <c r="W172" s="6" t="n">
        <v>1</v>
      </c>
    </row>
    <row r="173" customFormat="false" ht="15" hidden="false" customHeight="false" outlineLevel="0" collapsed="false">
      <c r="A173" s="4" t="n">
        <v>170</v>
      </c>
      <c r="B173" s="4" t="n">
        <v>8</v>
      </c>
      <c r="C173" s="4" t="s">
        <v>179</v>
      </c>
      <c r="D173" s="4" t="s">
        <v>283</v>
      </c>
      <c r="E173" s="4" t="s">
        <v>47</v>
      </c>
      <c r="F173" s="5" t="s">
        <v>284</v>
      </c>
      <c r="G173" s="5" t="s">
        <v>285</v>
      </c>
      <c r="H173" s="5"/>
      <c r="I173" s="6" t="n">
        <v>0</v>
      </c>
      <c r="J173" s="6" t="n">
        <v>0</v>
      </c>
      <c r="K173" s="6" t="n">
        <v>1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</row>
    <row r="174" customFormat="false" ht="15" hidden="false" customHeight="false" outlineLevel="0" collapsed="false">
      <c r="A174" s="4" t="n">
        <v>171</v>
      </c>
      <c r="B174" s="4" t="n">
        <v>8</v>
      </c>
      <c r="C174" s="4" t="s">
        <v>179</v>
      </c>
      <c r="D174" s="4" t="s">
        <v>286</v>
      </c>
      <c r="E174" s="4" t="s">
        <v>85</v>
      </c>
      <c r="F174" s="5" t="s">
        <v>75</v>
      </c>
      <c r="G174" s="5" t="s">
        <v>76</v>
      </c>
      <c r="H174" s="5"/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1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</row>
    <row r="175" customFormat="false" ht="15" hidden="false" customHeight="false" outlineLevel="0" collapsed="false">
      <c r="A175" s="4" t="n">
        <v>172</v>
      </c>
      <c r="B175" s="4" t="n">
        <v>8</v>
      </c>
      <c r="C175" s="4" t="s">
        <v>179</v>
      </c>
      <c r="D175" s="4" t="s">
        <v>287</v>
      </c>
      <c r="E175" s="4" t="s">
        <v>100</v>
      </c>
      <c r="F175" s="5" t="s">
        <v>288</v>
      </c>
      <c r="G175" s="5" t="s">
        <v>61</v>
      </c>
      <c r="H175" s="5"/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1</v>
      </c>
    </row>
    <row r="176" customFormat="false" ht="15" hidden="false" customHeight="false" outlineLevel="0" collapsed="false">
      <c r="A176" s="7" t="n">
        <v>173</v>
      </c>
      <c r="B176" s="7" t="n">
        <v>8</v>
      </c>
      <c r="C176" s="7" t="s">
        <v>179</v>
      </c>
      <c r="D176" s="7" t="s">
        <v>289</v>
      </c>
      <c r="E176" s="7" t="s">
        <v>38</v>
      </c>
      <c r="F176" s="8" t="s">
        <v>290</v>
      </c>
      <c r="G176" s="8" t="s">
        <v>242</v>
      </c>
      <c r="H176" s="8" t="s">
        <v>232</v>
      </c>
      <c r="I176" s="9" t="n">
        <v>3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</row>
    <row r="177" customFormat="false" ht="15" hidden="false" customHeight="false" outlineLevel="0" collapsed="false">
      <c r="A177" s="4" t="n">
        <v>174</v>
      </c>
      <c r="B177" s="4" t="n">
        <v>8</v>
      </c>
      <c r="C177" s="4" t="s">
        <v>179</v>
      </c>
      <c r="D177" s="4" t="s">
        <v>289</v>
      </c>
      <c r="E177" s="4" t="s">
        <v>100</v>
      </c>
      <c r="F177" s="5" t="s">
        <v>33</v>
      </c>
      <c r="G177" s="5" t="s">
        <v>34</v>
      </c>
      <c r="H177" s="5"/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1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</row>
    <row r="178" customFormat="false" ht="15" hidden="false" customHeight="false" outlineLevel="0" collapsed="false">
      <c r="A178" s="4" t="n">
        <v>175</v>
      </c>
      <c r="B178" s="4" t="n">
        <v>8</v>
      </c>
      <c r="C178" s="4" t="s">
        <v>179</v>
      </c>
      <c r="D178" s="4" t="s">
        <v>291</v>
      </c>
      <c r="E178" s="4" t="s">
        <v>85</v>
      </c>
      <c r="F178" s="5" t="s">
        <v>39</v>
      </c>
      <c r="G178" s="5" t="s">
        <v>39</v>
      </c>
      <c r="H178" s="5"/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1</v>
      </c>
    </row>
    <row r="179" customFormat="false" ht="15" hidden="false" customHeight="false" outlineLevel="0" collapsed="false">
      <c r="A179" s="4" t="n">
        <v>176</v>
      </c>
      <c r="B179" s="4" t="n">
        <v>8</v>
      </c>
      <c r="C179" s="4" t="s">
        <v>179</v>
      </c>
      <c r="D179" s="4" t="s">
        <v>292</v>
      </c>
      <c r="E179" s="4" t="s">
        <v>85</v>
      </c>
      <c r="F179" s="5" t="s">
        <v>184</v>
      </c>
      <c r="G179" s="5" t="s">
        <v>185</v>
      </c>
      <c r="H179" s="5"/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1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</row>
    <row r="180" customFormat="false" ht="15" hidden="false" customHeight="false" outlineLevel="0" collapsed="false">
      <c r="A180" s="4" t="n">
        <v>177</v>
      </c>
      <c r="B180" s="4" t="n">
        <v>8</v>
      </c>
      <c r="C180" s="4" t="s">
        <v>179</v>
      </c>
      <c r="D180" s="4" t="s">
        <v>293</v>
      </c>
      <c r="E180" s="4" t="s">
        <v>85</v>
      </c>
      <c r="F180" s="5" t="s">
        <v>110</v>
      </c>
      <c r="G180" s="5" t="s">
        <v>111</v>
      </c>
      <c r="H180" s="5"/>
      <c r="I180" s="6" t="n">
        <v>1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1</v>
      </c>
      <c r="O180" s="6" t="n">
        <v>1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</row>
    <row r="181" customFormat="false" ht="15" hidden="false" customHeight="false" outlineLevel="0" collapsed="false">
      <c r="A181" s="4" t="n">
        <v>178</v>
      </c>
      <c r="B181" s="4" t="n">
        <v>8</v>
      </c>
      <c r="C181" s="4" t="s">
        <v>179</v>
      </c>
      <c r="D181" s="4" t="s">
        <v>294</v>
      </c>
      <c r="E181" s="4" t="s">
        <v>85</v>
      </c>
      <c r="F181" s="5" t="s">
        <v>173</v>
      </c>
      <c r="G181" s="5" t="s">
        <v>174</v>
      </c>
      <c r="H181" s="5"/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1</v>
      </c>
      <c r="U181" s="6" t="n">
        <v>0</v>
      </c>
      <c r="V181" s="6" t="n">
        <v>0</v>
      </c>
      <c r="W181" s="6" t="n">
        <v>1</v>
      </c>
    </row>
    <row r="182" customFormat="false" ht="15" hidden="false" customHeight="false" outlineLevel="0" collapsed="false">
      <c r="A182" s="4" t="n">
        <v>179</v>
      </c>
      <c r="B182" s="4" t="n">
        <v>8</v>
      </c>
      <c r="C182" s="4" t="s">
        <v>179</v>
      </c>
      <c r="D182" s="4" t="s">
        <v>294</v>
      </c>
      <c r="E182" s="4" t="s">
        <v>85</v>
      </c>
      <c r="F182" s="5" t="s">
        <v>122</v>
      </c>
      <c r="G182" s="5" t="s">
        <v>123</v>
      </c>
      <c r="H182" s="5"/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1</v>
      </c>
      <c r="T182" s="6" t="n">
        <v>0</v>
      </c>
      <c r="U182" s="6" t="n">
        <v>0</v>
      </c>
      <c r="V182" s="6" t="n">
        <v>0</v>
      </c>
      <c r="W182" s="6" t="n">
        <v>3</v>
      </c>
    </row>
    <row r="183" customFormat="false" ht="15" hidden="false" customHeight="false" outlineLevel="0" collapsed="false">
      <c r="A183" s="4" t="n">
        <v>180</v>
      </c>
      <c r="B183" s="4" t="n">
        <v>8</v>
      </c>
      <c r="C183" s="4" t="s">
        <v>179</v>
      </c>
      <c r="D183" s="4" t="s">
        <v>295</v>
      </c>
      <c r="E183" s="4" t="s">
        <v>85</v>
      </c>
      <c r="F183" s="5" t="s">
        <v>60</v>
      </c>
      <c r="G183" s="5" t="s">
        <v>61</v>
      </c>
      <c r="H183" s="5"/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1</v>
      </c>
    </row>
    <row r="184" customFormat="false" ht="15" hidden="false" customHeight="false" outlineLevel="0" collapsed="false">
      <c r="A184" s="4" t="n">
        <v>181</v>
      </c>
      <c r="B184" s="4" t="n">
        <v>8</v>
      </c>
      <c r="C184" s="4" t="s">
        <v>179</v>
      </c>
      <c r="D184" s="4" t="s">
        <v>296</v>
      </c>
      <c r="E184" s="4" t="s">
        <v>38</v>
      </c>
      <c r="F184" s="5" t="s">
        <v>270</v>
      </c>
      <c r="G184" s="5" t="s">
        <v>271</v>
      </c>
      <c r="H184" s="5"/>
      <c r="I184" s="6" t="n">
        <v>2</v>
      </c>
      <c r="J184" s="6" t="n">
        <v>1</v>
      </c>
      <c r="K184" s="6" t="n">
        <v>1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</row>
    <row r="185" customFormat="false" ht="15" hidden="false" customHeight="false" outlineLevel="0" collapsed="false">
      <c r="A185" s="4" t="n">
        <v>182</v>
      </c>
      <c r="B185" s="4" t="n">
        <v>8</v>
      </c>
      <c r="C185" s="4" t="s">
        <v>179</v>
      </c>
      <c r="D185" s="4" t="s">
        <v>296</v>
      </c>
      <c r="E185" s="4" t="s">
        <v>85</v>
      </c>
      <c r="F185" s="5" t="s">
        <v>33</v>
      </c>
      <c r="G185" s="5" t="s">
        <v>34</v>
      </c>
      <c r="H185" s="5"/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1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0" min="2" style="0" width="8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3" customFormat="false" ht="15" hidden="false" customHeight="false" outlineLevel="0" collapsed="false">
      <c r="A3" s="10" t="s">
        <v>6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299</v>
      </c>
      <c r="Q3" s="10" t="s">
        <v>300</v>
      </c>
      <c r="R3" s="10" t="s">
        <v>301</v>
      </c>
      <c r="S3" s="10" t="s">
        <v>302</v>
      </c>
      <c r="T3" s="10" t="s">
        <v>303</v>
      </c>
    </row>
    <row r="4" customFormat="false" ht="15" hidden="false" customHeight="false" outlineLevel="0" collapsed="false">
      <c r="A4" s="11" t="s">
        <v>85</v>
      </c>
      <c r="B4" s="12" t="n">
        <f aca="false">SUMIF('Master list'!$E$4:$E$185,$A4,'Master list'!I$4:I$185)</f>
        <v>6</v>
      </c>
      <c r="C4" s="13" t="n">
        <f aca="false">SUMIF('Master list'!$E$4:$E$185,$A4,'Master list'!J$4:J$185)</f>
        <v>2</v>
      </c>
      <c r="D4" s="13" t="n">
        <f aca="false">SUMIF('Master list'!$E$4:$E$185,$A4,'Master list'!K$4:K$185)</f>
        <v>3</v>
      </c>
      <c r="E4" s="13" t="n">
        <f aca="false">SUMIF('Master list'!$E$4:$E$185,$A4,'Master list'!L$4:L$185)</f>
        <v>0</v>
      </c>
      <c r="F4" s="13" t="n">
        <f aca="false">SUMIF('Master list'!$E$4:$E$185,$A4,'Master list'!M$4:M$185)</f>
        <v>0</v>
      </c>
      <c r="G4" s="13" t="n">
        <f aca="false">SUMIF('Master list'!$E$4:$E$185,$A4,'Master list'!N$4:N$185)</f>
        <v>2</v>
      </c>
      <c r="H4" s="13" t="n">
        <f aca="false">SUMIF('Master list'!$E$4:$E$185,$A4,'Master list'!O$4:O$185)</f>
        <v>3</v>
      </c>
      <c r="I4" s="13" t="n">
        <f aca="false">SUMIF('Master list'!$E$4:$E$185,$A4,'Master list'!P$4:P$185)</f>
        <v>0</v>
      </c>
      <c r="J4" s="13" t="n">
        <f aca="false">SUMIF('Master list'!$E$4:$E$185,$A4,'Master list'!Q$4:Q$185)</f>
        <v>4</v>
      </c>
      <c r="K4" s="13" t="n">
        <f aca="false">SUMIF('Master list'!$E$4:$E$185,$A4,'Master list'!R$4:R$185)</f>
        <v>4</v>
      </c>
      <c r="L4" s="13" t="n">
        <f aca="false">SUMIF('Master list'!$E$4:$E$185,$A4,'Master list'!S$4:S$185)</f>
        <v>3</v>
      </c>
      <c r="M4" s="13" t="n">
        <f aca="false">SUMIF('Master list'!$E$4:$E$185,$A4,'Master list'!T$4:T$185)</f>
        <v>2</v>
      </c>
      <c r="N4" s="13" t="n">
        <f aca="false">SUMIF('Master list'!$E$4:$E$185,$A4,'Master list'!U$4:U$185)</f>
        <v>1</v>
      </c>
      <c r="O4" s="13" t="n">
        <f aca="false">SUMIF('Master list'!$E$4:$E$185,$A4,'Master list'!V$4:V$185)</f>
        <v>1</v>
      </c>
      <c r="P4" s="13" t="n">
        <f aca="false">I4+J4</f>
        <v>4</v>
      </c>
      <c r="Q4" s="12" t="n">
        <f aca="false">B4+P4+K4+L4+M4-(D4-C4)-(H4-G4)-N4</f>
        <v>16</v>
      </c>
      <c r="R4" s="13" t="n">
        <f aca="false">SUMIF('Master list'!$E$4:$E$185,$A4,'Master list'!W$4:W$185)</f>
        <v>37</v>
      </c>
      <c r="S4" s="14" t="n">
        <f aca="false">R4/3</f>
        <v>12.3333333333333</v>
      </c>
      <c r="T4" s="15" t="n">
        <f aca="false">Q4+S4</f>
        <v>28.3333333333333</v>
      </c>
    </row>
    <row r="5" customFormat="false" ht="15" hidden="false" customHeight="false" outlineLevel="0" collapsed="false">
      <c r="A5" s="11" t="s">
        <v>42</v>
      </c>
      <c r="B5" s="12" t="n">
        <f aca="false">SUMIF('Master list'!$E$4:$E$185,$A5,'Master list'!I$4:I$185)</f>
        <v>6</v>
      </c>
      <c r="C5" s="13" t="n">
        <f aca="false">SUMIF('Master list'!$E$4:$E$185,$A5,'Master list'!J$4:J$185)</f>
        <v>1</v>
      </c>
      <c r="D5" s="13" t="n">
        <f aca="false">SUMIF('Master list'!$E$4:$E$185,$A5,'Master list'!K$4:K$185)</f>
        <v>8</v>
      </c>
      <c r="E5" s="13" t="n">
        <f aca="false">SUMIF('Master list'!$E$4:$E$185,$A5,'Master list'!L$4:L$185)</f>
        <v>0</v>
      </c>
      <c r="F5" s="13" t="n">
        <f aca="false">SUMIF('Master list'!$E$4:$E$185,$A5,'Master list'!M$4:M$185)</f>
        <v>3</v>
      </c>
      <c r="G5" s="13" t="n">
        <f aca="false">SUMIF('Master list'!$E$4:$E$185,$A5,'Master list'!N$4:N$185)</f>
        <v>4</v>
      </c>
      <c r="H5" s="13" t="n">
        <f aca="false">SUMIF('Master list'!$E$4:$E$185,$A5,'Master list'!O$4:O$185)</f>
        <v>5</v>
      </c>
      <c r="I5" s="13" t="n">
        <f aca="false">SUMIF('Master list'!$E$4:$E$185,$A5,'Master list'!P$4:P$185)</f>
        <v>1</v>
      </c>
      <c r="J5" s="13" t="n">
        <f aca="false">SUMIF('Master list'!$E$4:$E$185,$A5,'Master list'!Q$4:Q$185)</f>
        <v>2</v>
      </c>
      <c r="K5" s="13" t="n">
        <f aca="false">SUMIF('Master list'!$E$4:$E$185,$A5,'Master list'!R$4:R$185)</f>
        <v>0</v>
      </c>
      <c r="L5" s="13" t="n">
        <f aca="false">SUMIF('Master list'!$E$4:$E$185,$A5,'Master list'!S$4:S$185)</f>
        <v>0</v>
      </c>
      <c r="M5" s="13" t="n">
        <f aca="false">SUMIF('Master list'!$E$4:$E$185,$A5,'Master list'!T$4:T$185)</f>
        <v>0</v>
      </c>
      <c r="N5" s="13" t="n">
        <f aca="false">SUMIF('Master list'!$E$4:$E$185,$A5,'Master list'!U$4:U$185)</f>
        <v>2</v>
      </c>
      <c r="O5" s="13" t="n">
        <f aca="false">SUMIF('Master list'!$E$4:$E$185,$A5,'Master list'!V$4:V$185)</f>
        <v>1</v>
      </c>
      <c r="P5" s="13" t="n">
        <f aca="false">I5+J5</f>
        <v>3</v>
      </c>
      <c r="Q5" s="12" t="n">
        <f aca="false">B5+P5+K5+L5+M5-(D5-C5)-(H5-G5)-N5</f>
        <v>-1</v>
      </c>
      <c r="R5" s="13" t="n">
        <f aca="false">SUMIF('Master list'!$E$4:$E$185,$A5,'Master list'!W$4:W$185)</f>
        <v>20</v>
      </c>
      <c r="S5" s="14" t="n">
        <f aca="false">R5/3</f>
        <v>6.66666666666667</v>
      </c>
      <c r="T5" s="15" t="n">
        <f aca="false">Q5+S5</f>
        <v>5.66666666666667</v>
      </c>
    </row>
    <row r="6" customFormat="false" ht="15" hidden="false" customHeight="false" outlineLevel="0" collapsed="false">
      <c r="A6" s="11" t="s">
        <v>100</v>
      </c>
      <c r="B6" s="12" t="n">
        <f aca="false">SUMIF('Master list'!$E$4:$E$185,$A6,'Master list'!I$4:I$185)</f>
        <v>2</v>
      </c>
      <c r="C6" s="13" t="n">
        <f aca="false">SUMIF('Master list'!$E$4:$E$185,$A6,'Master list'!J$4:J$185)</f>
        <v>0</v>
      </c>
      <c r="D6" s="13" t="n">
        <f aca="false">SUMIF('Master list'!$E$4:$E$185,$A6,'Master list'!K$4:K$185)</f>
        <v>1</v>
      </c>
      <c r="E6" s="13" t="n">
        <f aca="false">SUMIF('Master list'!$E$4:$E$185,$A6,'Master list'!L$4:L$185)</f>
        <v>0</v>
      </c>
      <c r="F6" s="13" t="n">
        <f aca="false">SUMIF('Master list'!$E$4:$E$185,$A6,'Master list'!M$4:M$185)</f>
        <v>1</v>
      </c>
      <c r="G6" s="13" t="n">
        <f aca="false">SUMIF('Master list'!$E$4:$E$185,$A6,'Master list'!N$4:N$185)</f>
        <v>2</v>
      </c>
      <c r="H6" s="13" t="n">
        <f aca="false">SUMIF('Master list'!$E$4:$E$185,$A6,'Master list'!O$4:O$185)</f>
        <v>2</v>
      </c>
      <c r="I6" s="13" t="n">
        <f aca="false">SUMIF('Master list'!$E$4:$E$185,$A6,'Master list'!P$4:P$185)</f>
        <v>1</v>
      </c>
      <c r="J6" s="13" t="n">
        <f aca="false">SUMIF('Master list'!$E$4:$E$185,$A6,'Master list'!Q$4:Q$185)</f>
        <v>2</v>
      </c>
      <c r="K6" s="13" t="n">
        <f aca="false">SUMIF('Master list'!$E$4:$E$185,$A6,'Master list'!R$4:R$185)</f>
        <v>2</v>
      </c>
      <c r="L6" s="13" t="n">
        <f aca="false">SUMIF('Master list'!$E$4:$E$185,$A6,'Master list'!S$4:S$185)</f>
        <v>0</v>
      </c>
      <c r="M6" s="13" t="n">
        <f aca="false">SUMIF('Master list'!$E$4:$E$185,$A6,'Master list'!T$4:T$185)</f>
        <v>0</v>
      </c>
      <c r="N6" s="13" t="n">
        <f aca="false">SUMIF('Master list'!$E$4:$E$185,$A6,'Master list'!U$4:U$185)</f>
        <v>0</v>
      </c>
      <c r="O6" s="13" t="n">
        <f aca="false">SUMIF('Master list'!$E$4:$E$185,$A6,'Master list'!V$4:V$185)</f>
        <v>0</v>
      </c>
      <c r="P6" s="13" t="n">
        <f aca="false">I6+J6</f>
        <v>3</v>
      </c>
      <c r="Q6" s="12" t="n">
        <f aca="false">B6+P6+K6+L6+M6-(D6-C6)-(H6-G6)-N6</f>
        <v>6</v>
      </c>
      <c r="R6" s="13" t="n">
        <f aca="false">SUMIF('Master list'!$E$4:$E$185,$A6,'Master list'!W$4:W$185)</f>
        <v>15</v>
      </c>
      <c r="S6" s="14" t="n">
        <f aca="false">R6/3</f>
        <v>5</v>
      </c>
      <c r="T6" s="15" t="n">
        <f aca="false">Q6+S6</f>
        <v>11</v>
      </c>
    </row>
    <row r="7" customFormat="false" ht="15" hidden="false" customHeight="false" outlineLevel="0" collapsed="false">
      <c r="A7" s="11" t="s">
        <v>38</v>
      </c>
      <c r="B7" s="12" t="n">
        <f aca="false">SUMIF('Master list'!$E$4:$E$185,$A7,'Master list'!I$4:I$185)</f>
        <v>7</v>
      </c>
      <c r="C7" s="13" t="n">
        <f aca="false">SUMIF('Master list'!$E$4:$E$185,$A7,'Master list'!J$4:J$185)</f>
        <v>3</v>
      </c>
      <c r="D7" s="13" t="n">
        <f aca="false">SUMIF('Master list'!$E$4:$E$185,$A7,'Master list'!K$4:K$185)</f>
        <v>6</v>
      </c>
      <c r="E7" s="13" t="n">
        <f aca="false">SUMIF('Master list'!$E$4:$E$185,$A7,'Master list'!L$4:L$185)</f>
        <v>1</v>
      </c>
      <c r="F7" s="13" t="n">
        <f aca="false">SUMIF('Master list'!$E$4:$E$185,$A7,'Master list'!M$4:M$185)</f>
        <v>3</v>
      </c>
      <c r="G7" s="13" t="n">
        <f aca="false">SUMIF('Master list'!$E$4:$E$185,$A7,'Master list'!N$4:N$185)</f>
        <v>0</v>
      </c>
      <c r="H7" s="13" t="n">
        <f aca="false">SUMIF('Master list'!$E$4:$E$185,$A7,'Master list'!O$4:O$185)</f>
        <v>0</v>
      </c>
      <c r="I7" s="13" t="n">
        <f aca="false">SUMIF('Master list'!$E$4:$E$185,$A7,'Master list'!P$4:P$185)</f>
        <v>0</v>
      </c>
      <c r="J7" s="13" t="n">
        <f aca="false">SUMIF('Master list'!$E$4:$E$185,$A7,'Master list'!Q$4:Q$185)</f>
        <v>0</v>
      </c>
      <c r="K7" s="13" t="n">
        <f aca="false">SUMIF('Master list'!$E$4:$E$185,$A7,'Master list'!R$4:R$185)</f>
        <v>1</v>
      </c>
      <c r="L7" s="13" t="n">
        <f aca="false">SUMIF('Master list'!$E$4:$E$185,$A7,'Master list'!S$4:S$185)</f>
        <v>1</v>
      </c>
      <c r="M7" s="13" t="n">
        <f aca="false">SUMIF('Master list'!$E$4:$E$185,$A7,'Master list'!T$4:T$185)</f>
        <v>0</v>
      </c>
      <c r="N7" s="13" t="n">
        <f aca="false">SUMIF('Master list'!$E$4:$E$185,$A7,'Master list'!U$4:U$185)</f>
        <v>1</v>
      </c>
      <c r="O7" s="13" t="n">
        <f aca="false">SUMIF('Master list'!$E$4:$E$185,$A7,'Master list'!V$4:V$185)</f>
        <v>0</v>
      </c>
      <c r="P7" s="13" t="n">
        <f aca="false">I7+J7</f>
        <v>0</v>
      </c>
      <c r="Q7" s="12" t="n">
        <f aca="false">B7+P7+K7+L7+M7-(D7-C7)-(H7-G7)-N7</f>
        <v>5</v>
      </c>
      <c r="R7" s="13" t="n">
        <f aca="false">SUMIF('Master list'!$E$4:$E$185,$A7,'Master list'!W$4:W$185)</f>
        <v>12</v>
      </c>
      <c r="S7" s="14" t="n">
        <f aca="false">R7/3</f>
        <v>4</v>
      </c>
      <c r="T7" s="15" t="n">
        <f aca="false">Q7+S7</f>
        <v>9</v>
      </c>
    </row>
    <row r="8" customFormat="false" ht="15" hidden="false" customHeight="false" outlineLevel="0" collapsed="false">
      <c r="A8" s="11" t="s">
        <v>27</v>
      </c>
      <c r="B8" s="12" t="n">
        <f aca="false">SUMIF('Master list'!$E$4:$E$185,$A8,'Master list'!I$4:I$185)</f>
        <v>4</v>
      </c>
      <c r="C8" s="13" t="n">
        <f aca="false">SUMIF('Master list'!$E$4:$E$185,$A8,'Master list'!J$4:J$185)</f>
        <v>2</v>
      </c>
      <c r="D8" s="13" t="n">
        <f aca="false">SUMIF('Master list'!$E$4:$E$185,$A8,'Master list'!K$4:K$185)</f>
        <v>3</v>
      </c>
      <c r="E8" s="13" t="n">
        <f aca="false">SUMIF('Master list'!$E$4:$E$185,$A8,'Master list'!L$4:L$185)</f>
        <v>0</v>
      </c>
      <c r="F8" s="13" t="n">
        <f aca="false">SUMIF('Master list'!$E$4:$E$185,$A8,'Master list'!M$4:M$185)</f>
        <v>0</v>
      </c>
      <c r="G8" s="13" t="n">
        <f aca="false">SUMIF('Master list'!$E$4:$E$185,$A8,'Master list'!N$4:N$185)</f>
        <v>0</v>
      </c>
      <c r="H8" s="13" t="n">
        <f aca="false">SUMIF('Master list'!$E$4:$E$185,$A8,'Master list'!O$4:O$185)</f>
        <v>0</v>
      </c>
      <c r="I8" s="13" t="n">
        <f aca="false">SUMIF('Master list'!$E$4:$E$185,$A8,'Master list'!P$4:P$185)</f>
        <v>1</v>
      </c>
      <c r="J8" s="13" t="n">
        <f aca="false">SUMIF('Master list'!$E$4:$E$185,$A8,'Master list'!Q$4:Q$185)</f>
        <v>1</v>
      </c>
      <c r="K8" s="13" t="n">
        <f aca="false">SUMIF('Master list'!$E$4:$E$185,$A8,'Master list'!R$4:R$185)</f>
        <v>0</v>
      </c>
      <c r="L8" s="13" t="n">
        <f aca="false">SUMIF('Master list'!$E$4:$E$185,$A8,'Master list'!S$4:S$185)</f>
        <v>0</v>
      </c>
      <c r="M8" s="13" t="n">
        <f aca="false">SUMIF('Master list'!$E$4:$E$185,$A8,'Master list'!T$4:T$185)</f>
        <v>1</v>
      </c>
      <c r="N8" s="13" t="n">
        <f aca="false">SUMIF('Master list'!$E$4:$E$185,$A8,'Master list'!U$4:U$185)</f>
        <v>2</v>
      </c>
      <c r="O8" s="13" t="n">
        <f aca="false">SUMIF('Master list'!$E$4:$E$185,$A8,'Master list'!V$4:V$185)</f>
        <v>0</v>
      </c>
      <c r="P8" s="13" t="n">
        <f aca="false">I8+J8</f>
        <v>2</v>
      </c>
      <c r="Q8" s="12" t="n">
        <f aca="false">B8+P8+K8+L8+M8-(D8-C8)-(H8-G8)-N8</f>
        <v>4</v>
      </c>
      <c r="R8" s="13" t="n">
        <f aca="false">SUMIF('Master list'!$E$4:$E$185,$A8,'Master list'!W$4:W$185)</f>
        <v>16</v>
      </c>
      <c r="S8" s="14" t="n">
        <f aca="false">R8/3</f>
        <v>5.33333333333333</v>
      </c>
      <c r="T8" s="15" t="n">
        <f aca="false">Q8+S8</f>
        <v>9.33333333333333</v>
      </c>
    </row>
    <row r="9" customFormat="false" ht="15" hidden="false" customHeight="false" outlineLevel="0" collapsed="false">
      <c r="A9" s="11" t="s">
        <v>32</v>
      </c>
      <c r="B9" s="12" t="n">
        <f aca="false">SUMIF('Master list'!$E$4:$E$185,$A9,'Master list'!I$4:I$185)</f>
        <v>0</v>
      </c>
      <c r="C9" s="13" t="n">
        <f aca="false">SUMIF('Master list'!$E$4:$E$185,$A9,'Master list'!J$4:J$185)</f>
        <v>0</v>
      </c>
      <c r="D9" s="13" t="n">
        <f aca="false">SUMIF('Master list'!$E$4:$E$185,$A9,'Master list'!K$4:K$185)</f>
        <v>0</v>
      </c>
      <c r="E9" s="13" t="n">
        <f aca="false">SUMIF('Master list'!$E$4:$E$185,$A9,'Master list'!L$4:L$185)</f>
        <v>0</v>
      </c>
      <c r="F9" s="13" t="n">
        <f aca="false">SUMIF('Master list'!$E$4:$E$185,$A9,'Master list'!M$4:M$185)</f>
        <v>0</v>
      </c>
      <c r="G9" s="13" t="n">
        <f aca="false">SUMIF('Master list'!$E$4:$E$185,$A9,'Master list'!N$4:N$185)</f>
        <v>0</v>
      </c>
      <c r="H9" s="13" t="n">
        <f aca="false">SUMIF('Master list'!$E$4:$E$185,$A9,'Master list'!O$4:O$185)</f>
        <v>0</v>
      </c>
      <c r="I9" s="13" t="n">
        <f aca="false">SUMIF('Master list'!$E$4:$E$185,$A9,'Master list'!P$4:P$185)</f>
        <v>0</v>
      </c>
      <c r="J9" s="13" t="n">
        <f aca="false">SUMIF('Master list'!$E$4:$E$185,$A9,'Master list'!Q$4:Q$185)</f>
        <v>0</v>
      </c>
      <c r="K9" s="13" t="n">
        <f aca="false">SUMIF('Master list'!$E$4:$E$185,$A9,'Master list'!R$4:R$185)</f>
        <v>2</v>
      </c>
      <c r="L9" s="13" t="n">
        <f aca="false">SUMIF('Master list'!$E$4:$E$185,$A9,'Master list'!S$4:S$185)</f>
        <v>0</v>
      </c>
      <c r="M9" s="13" t="n">
        <f aca="false">SUMIF('Master list'!$E$4:$E$185,$A9,'Master list'!T$4:T$185)</f>
        <v>1</v>
      </c>
      <c r="N9" s="13" t="n">
        <f aca="false">SUMIF('Master list'!$E$4:$E$185,$A9,'Master list'!U$4:U$185)</f>
        <v>1</v>
      </c>
      <c r="O9" s="13" t="n">
        <f aca="false">SUMIF('Master list'!$E$4:$E$185,$A9,'Master list'!V$4:V$185)</f>
        <v>0</v>
      </c>
      <c r="P9" s="13" t="n">
        <f aca="false">I9+J9</f>
        <v>0</v>
      </c>
      <c r="Q9" s="12" t="n">
        <f aca="false">B9+P9+K9+L9+M9-(D9-C9)-(H9-G9)-N9</f>
        <v>2</v>
      </c>
      <c r="R9" s="13" t="n">
        <f aca="false">SUMIF('Master list'!$E$4:$E$185,$A9,'Master list'!W$4:W$185)</f>
        <v>12</v>
      </c>
      <c r="S9" s="14" t="n">
        <f aca="false">R9/3</f>
        <v>4</v>
      </c>
      <c r="T9" s="15" t="n">
        <f aca="false">Q9+S9</f>
        <v>6</v>
      </c>
    </row>
    <row r="10" customFormat="false" ht="15" hidden="false" customHeight="false" outlineLevel="0" collapsed="false">
      <c r="A10" s="11" t="s">
        <v>47</v>
      </c>
      <c r="B10" s="12" t="n">
        <f aca="false">SUMIF('Master list'!$E$4:$E$185,$A10,'Master list'!I$4:I$185)</f>
        <v>2</v>
      </c>
      <c r="C10" s="13" t="n">
        <f aca="false">SUMIF('Master list'!$E$4:$E$185,$A10,'Master list'!J$4:J$185)</f>
        <v>1</v>
      </c>
      <c r="D10" s="13" t="n">
        <f aca="false">SUMIF('Master list'!$E$4:$E$185,$A10,'Master list'!K$4:K$185)</f>
        <v>4</v>
      </c>
      <c r="E10" s="13" t="n">
        <f aca="false">SUMIF('Master list'!$E$4:$E$185,$A10,'Master list'!L$4:L$185)</f>
        <v>0</v>
      </c>
      <c r="F10" s="13" t="n">
        <f aca="false">SUMIF('Master list'!$E$4:$E$185,$A10,'Master list'!M$4:M$185)</f>
        <v>1</v>
      </c>
      <c r="G10" s="13" t="n">
        <f aca="false">SUMIF('Master list'!$E$4:$E$185,$A10,'Master list'!N$4:N$185)</f>
        <v>0</v>
      </c>
      <c r="H10" s="13" t="n">
        <f aca="false">SUMIF('Master list'!$E$4:$E$185,$A10,'Master list'!O$4:O$185)</f>
        <v>0</v>
      </c>
      <c r="I10" s="13" t="n">
        <f aca="false">SUMIF('Master list'!$E$4:$E$185,$A10,'Master list'!P$4:P$185)</f>
        <v>1</v>
      </c>
      <c r="J10" s="13" t="n">
        <f aca="false">SUMIF('Master list'!$E$4:$E$185,$A10,'Master list'!Q$4:Q$185)</f>
        <v>0</v>
      </c>
      <c r="K10" s="13" t="n">
        <f aca="false">SUMIF('Master list'!$E$4:$E$185,$A10,'Master list'!R$4:R$185)</f>
        <v>0</v>
      </c>
      <c r="L10" s="13" t="n">
        <f aca="false">SUMIF('Master list'!$E$4:$E$185,$A10,'Master list'!S$4:S$185)</f>
        <v>0</v>
      </c>
      <c r="M10" s="13" t="n">
        <f aca="false">SUMIF('Master list'!$E$4:$E$185,$A10,'Master list'!T$4:T$185)</f>
        <v>0</v>
      </c>
      <c r="N10" s="13" t="n">
        <f aca="false">SUMIF('Master list'!$E$4:$E$185,$A10,'Master list'!U$4:U$185)</f>
        <v>1</v>
      </c>
      <c r="O10" s="13" t="n">
        <f aca="false">SUMIF('Master list'!$E$4:$E$185,$A10,'Master list'!V$4:V$185)</f>
        <v>0</v>
      </c>
      <c r="P10" s="13" t="n">
        <f aca="false">I10+J10</f>
        <v>1</v>
      </c>
      <c r="Q10" s="12" t="n">
        <f aca="false">B10+P10+K10+L10+M10-(D10-C10)-(H10-G10)-N10</f>
        <v>-1</v>
      </c>
      <c r="R10" s="13" t="n">
        <f aca="false">SUMIF('Master list'!$E$4:$E$185,$A10,'Master list'!W$4:W$185)</f>
        <v>10</v>
      </c>
      <c r="S10" s="14" t="n">
        <f aca="false">R10/3</f>
        <v>3.33333333333333</v>
      </c>
      <c r="T10" s="15" t="n">
        <f aca="false">Q10+S10</f>
        <v>2.33333333333333</v>
      </c>
    </row>
    <row r="11" customFormat="false" ht="15" hidden="false" customHeight="false" outlineLevel="0" collapsed="false">
      <c r="A11" s="11" t="s">
        <v>136</v>
      </c>
      <c r="B11" s="12" t="n">
        <f aca="false">SUMIF('Master list'!$E$4:$E$185,$A11,'Master list'!I$4:I$185)</f>
        <v>5</v>
      </c>
      <c r="C11" s="13" t="n">
        <f aca="false">SUMIF('Master list'!$E$4:$E$185,$A11,'Master list'!J$4:J$185)</f>
        <v>2</v>
      </c>
      <c r="D11" s="13" t="n">
        <f aca="false">SUMIF('Master list'!$E$4:$E$185,$A11,'Master list'!K$4:K$185)</f>
        <v>3</v>
      </c>
      <c r="E11" s="13" t="n">
        <f aca="false">SUMIF('Master list'!$E$4:$E$185,$A11,'Master list'!L$4:L$185)</f>
        <v>1</v>
      </c>
      <c r="F11" s="13" t="n">
        <f aca="false">SUMIF('Master list'!$E$4:$E$185,$A11,'Master list'!M$4:M$185)</f>
        <v>1</v>
      </c>
      <c r="G11" s="13" t="n">
        <f aca="false">SUMIF('Master list'!$E$4:$E$185,$A11,'Master list'!N$4:N$185)</f>
        <v>0</v>
      </c>
      <c r="H11" s="13" t="n">
        <f aca="false">SUMIF('Master list'!$E$4:$E$185,$A11,'Master list'!O$4:O$185)</f>
        <v>0</v>
      </c>
      <c r="I11" s="13" t="n">
        <f aca="false">SUMIF('Master list'!$E$4:$E$185,$A11,'Master list'!P$4:P$185)</f>
        <v>1</v>
      </c>
      <c r="J11" s="13" t="n">
        <f aca="false">SUMIF('Master list'!$E$4:$E$185,$A11,'Master list'!Q$4:Q$185)</f>
        <v>0</v>
      </c>
      <c r="K11" s="13" t="n">
        <f aca="false">SUMIF('Master list'!$E$4:$E$185,$A11,'Master list'!R$4:R$185)</f>
        <v>1</v>
      </c>
      <c r="L11" s="13" t="n">
        <f aca="false">SUMIF('Master list'!$E$4:$E$185,$A11,'Master list'!S$4:S$185)</f>
        <v>1</v>
      </c>
      <c r="M11" s="13" t="n">
        <f aca="false">SUMIF('Master list'!$E$4:$E$185,$A11,'Master list'!T$4:T$185)</f>
        <v>0</v>
      </c>
      <c r="N11" s="13" t="n">
        <f aca="false">SUMIF('Master list'!$E$4:$E$185,$A11,'Master list'!U$4:U$185)</f>
        <v>1</v>
      </c>
      <c r="O11" s="13" t="n">
        <f aca="false">SUMIF('Master list'!$E$4:$E$185,$A11,'Master list'!V$4:V$185)</f>
        <v>2</v>
      </c>
      <c r="P11" s="13" t="n">
        <f aca="false">I11+J11</f>
        <v>1</v>
      </c>
      <c r="Q11" s="12" t="n">
        <f aca="false">B11+P11+K11+L11+M11-(D11-C11)-(H11-G11)-N11</f>
        <v>6</v>
      </c>
      <c r="R11" s="13" t="n">
        <f aca="false">SUMIF('Master list'!$E$4:$E$185,$A11,'Master list'!W$4:W$185)</f>
        <v>12</v>
      </c>
      <c r="S11" s="14" t="n">
        <f aca="false">R11/3</f>
        <v>4</v>
      </c>
      <c r="T11" s="15" t="n">
        <f aca="false">Q11+S11</f>
        <v>10</v>
      </c>
    </row>
    <row r="12" customFormat="false" ht="15" hidden="false" customHeight="false" outlineLevel="0" collapsed="false">
      <c r="A12" s="11" t="s">
        <v>146</v>
      </c>
      <c r="B12" s="12" t="n">
        <f aca="false">SUMIF('Master list'!$E$4:$E$185,$A12,'Master list'!I$4:I$185)</f>
        <v>1</v>
      </c>
      <c r="C12" s="13" t="n">
        <f aca="false">SUMIF('Master list'!$E$4:$E$185,$A12,'Master list'!J$4:J$185)</f>
        <v>0</v>
      </c>
      <c r="D12" s="13" t="n">
        <f aca="false">SUMIF('Master list'!$E$4:$E$185,$A12,'Master list'!K$4:K$185)</f>
        <v>2</v>
      </c>
      <c r="E12" s="13" t="n">
        <f aca="false">SUMIF('Master list'!$E$4:$E$185,$A12,'Master list'!L$4:L$185)</f>
        <v>0</v>
      </c>
      <c r="F12" s="13" t="n">
        <f aca="false">SUMIF('Master list'!$E$4:$E$185,$A12,'Master list'!M$4:M$185)</f>
        <v>1</v>
      </c>
      <c r="G12" s="13" t="n">
        <f aca="false">SUMIF('Master list'!$E$4:$E$185,$A12,'Master list'!N$4:N$185)</f>
        <v>1</v>
      </c>
      <c r="H12" s="13" t="n">
        <f aca="false">SUMIF('Master list'!$E$4:$E$185,$A12,'Master list'!O$4:O$185)</f>
        <v>2</v>
      </c>
      <c r="I12" s="13" t="n">
        <f aca="false">SUMIF('Master list'!$E$4:$E$185,$A12,'Master list'!P$4:P$185)</f>
        <v>1</v>
      </c>
      <c r="J12" s="13" t="n">
        <f aca="false">SUMIF('Master list'!$E$4:$E$185,$A12,'Master list'!Q$4:Q$185)</f>
        <v>0</v>
      </c>
      <c r="K12" s="13" t="n">
        <f aca="false">SUMIF('Master list'!$E$4:$E$185,$A12,'Master list'!R$4:R$185)</f>
        <v>0</v>
      </c>
      <c r="L12" s="13" t="n">
        <f aca="false">SUMIF('Master list'!$E$4:$E$185,$A12,'Master list'!S$4:S$185)</f>
        <v>1</v>
      </c>
      <c r="M12" s="13" t="n">
        <f aca="false">SUMIF('Master list'!$E$4:$E$185,$A12,'Master list'!T$4:T$185)</f>
        <v>0</v>
      </c>
      <c r="N12" s="13" t="n">
        <f aca="false">SUMIF('Master list'!$E$4:$E$185,$A12,'Master list'!U$4:U$185)</f>
        <v>2</v>
      </c>
      <c r="O12" s="13" t="n">
        <f aca="false">SUMIF('Master list'!$E$4:$E$185,$A12,'Master list'!V$4:V$185)</f>
        <v>1</v>
      </c>
      <c r="P12" s="13" t="n">
        <f aca="false">I12+J12</f>
        <v>1</v>
      </c>
      <c r="Q12" s="12" t="n">
        <f aca="false">B12+P12+K12+L12+M12-(D12-C12)-(H12-G12)-N12</f>
        <v>-2</v>
      </c>
      <c r="R12" s="13" t="n">
        <f aca="false">SUMIF('Master list'!$E$4:$E$185,$A12,'Master list'!W$4:W$185)</f>
        <v>12</v>
      </c>
      <c r="S12" s="14" t="n">
        <f aca="false">R12/3</f>
        <v>4</v>
      </c>
      <c r="T12" s="15" t="n">
        <f aca="false">Q12+S12</f>
        <v>2</v>
      </c>
    </row>
    <row r="13" customFormat="false" ht="15" hidden="false" customHeight="false" outlineLevel="0" collapsed="false">
      <c r="A13" s="11" t="s">
        <v>121</v>
      </c>
      <c r="B13" s="12" t="n">
        <f aca="false">SUMIF('Master list'!$E$4:$E$185,$A13,'Master list'!I$4:I$185)</f>
        <v>2</v>
      </c>
      <c r="C13" s="13" t="n">
        <f aca="false">SUMIF('Master list'!$E$4:$E$185,$A13,'Master list'!J$4:J$185)</f>
        <v>1</v>
      </c>
      <c r="D13" s="13" t="n">
        <f aca="false">SUMIF('Master list'!$E$4:$E$185,$A13,'Master list'!K$4:K$185)</f>
        <v>1</v>
      </c>
      <c r="E13" s="13" t="n">
        <f aca="false">SUMIF('Master list'!$E$4:$E$185,$A13,'Master list'!L$4:L$185)</f>
        <v>0</v>
      </c>
      <c r="F13" s="13" t="n">
        <f aca="false">SUMIF('Master list'!$E$4:$E$185,$A13,'Master list'!M$4:M$185)</f>
        <v>0</v>
      </c>
      <c r="G13" s="13" t="n">
        <f aca="false">SUMIF('Master list'!$E$4:$E$185,$A13,'Master list'!N$4:N$185)</f>
        <v>0</v>
      </c>
      <c r="H13" s="13" t="n">
        <f aca="false">SUMIF('Master list'!$E$4:$E$185,$A13,'Master list'!O$4:O$185)</f>
        <v>0</v>
      </c>
      <c r="I13" s="13" t="n">
        <f aca="false">SUMIF('Master list'!$E$4:$E$185,$A13,'Master list'!P$4:P$185)</f>
        <v>0</v>
      </c>
      <c r="J13" s="13" t="n">
        <f aca="false">SUMIF('Master list'!$E$4:$E$185,$A13,'Master list'!Q$4:Q$185)</f>
        <v>0</v>
      </c>
      <c r="K13" s="13" t="n">
        <f aca="false">SUMIF('Master list'!$E$4:$E$185,$A13,'Master list'!R$4:R$185)</f>
        <v>1</v>
      </c>
      <c r="L13" s="13" t="n">
        <f aca="false">SUMIF('Master list'!$E$4:$E$185,$A13,'Master list'!S$4:S$185)</f>
        <v>1</v>
      </c>
      <c r="M13" s="13" t="n">
        <f aca="false">SUMIF('Master list'!$E$4:$E$185,$A13,'Master list'!T$4:T$185)</f>
        <v>0</v>
      </c>
      <c r="N13" s="13" t="n">
        <f aca="false">SUMIF('Master list'!$E$4:$E$185,$A13,'Master list'!U$4:U$185)</f>
        <v>2</v>
      </c>
      <c r="O13" s="13" t="n">
        <f aca="false">SUMIF('Master list'!$E$4:$E$185,$A13,'Master list'!V$4:V$185)</f>
        <v>0</v>
      </c>
      <c r="P13" s="13" t="n">
        <f aca="false">I13+J13</f>
        <v>0</v>
      </c>
      <c r="Q13" s="12" t="n">
        <f aca="false">B13+P13+K13+L13+M13-(D13-C13)-(H13-G13)-N13</f>
        <v>2</v>
      </c>
      <c r="R13" s="13" t="n">
        <f aca="false">SUMIF('Master list'!$E$4:$E$185,$A13,'Master list'!W$4:W$185)</f>
        <v>6</v>
      </c>
      <c r="S13" s="14" t="n">
        <f aca="false">R13/3</f>
        <v>2</v>
      </c>
      <c r="T13" s="15" t="n">
        <f aca="false">Q13+S13</f>
        <v>4</v>
      </c>
    </row>
    <row r="14" customFormat="false" ht="15" hidden="false" customHeight="false" outlineLevel="0" collapsed="false">
      <c r="A14" s="11" t="s">
        <v>163</v>
      </c>
      <c r="B14" s="12" t="n">
        <f aca="false">SUMIF('Master list'!$E$4:$E$185,$A14,'Master list'!I$4:I$185)</f>
        <v>2</v>
      </c>
      <c r="C14" s="13" t="n">
        <f aca="false">SUMIF('Master list'!$E$4:$E$185,$A14,'Master list'!J$4:J$185)</f>
        <v>1</v>
      </c>
      <c r="D14" s="13" t="n">
        <f aca="false">SUMIF('Master list'!$E$4:$E$185,$A14,'Master list'!K$4:K$185)</f>
        <v>1</v>
      </c>
      <c r="E14" s="13" t="n">
        <f aca="false">SUMIF('Master list'!$E$4:$E$185,$A14,'Master list'!L$4:L$185)</f>
        <v>0</v>
      </c>
      <c r="F14" s="13" t="n">
        <f aca="false">SUMIF('Master list'!$E$4:$E$185,$A14,'Master list'!M$4:M$185)</f>
        <v>0</v>
      </c>
      <c r="G14" s="13" t="n">
        <f aca="false">SUMIF('Master list'!$E$4:$E$185,$A14,'Master list'!N$4:N$185)</f>
        <v>0</v>
      </c>
      <c r="H14" s="13" t="n">
        <f aca="false">SUMIF('Master list'!$E$4:$E$185,$A14,'Master list'!O$4:O$185)</f>
        <v>0</v>
      </c>
      <c r="I14" s="13" t="n">
        <f aca="false">SUMIF('Master list'!$E$4:$E$185,$A14,'Master list'!P$4:P$185)</f>
        <v>0</v>
      </c>
      <c r="J14" s="13" t="n">
        <f aca="false">SUMIF('Master list'!$E$4:$E$185,$A14,'Master list'!Q$4:Q$185)</f>
        <v>1</v>
      </c>
      <c r="K14" s="13" t="n">
        <f aca="false">SUMIF('Master list'!$E$4:$E$185,$A14,'Master list'!R$4:R$185)</f>
        <v>0</v>
      </c>
      <c r="L14" s="13" t="n">
        <f aca="false">SUMIF('Master list'!$E$4:$E$185,$A14,'Master list'!S$4:S$185)</f>
        <v>0</v>
      </c>
      <c r="M14" s="13" t="n">
        <f aca="false">SUMIF('Master list'!$E$4:$E$185,$A14,'Master list'!T$4:T$185)</f>
        <v>0</v>
      </c>
      <c r="N14" s="13" t="n">
        <f aca="false">SUMIF('Master list'!$E$4:$E$185,$A14,'Master list'!U$4:U$185)</f>
        <v>0</v>
      </c>
      <c r="O14" s="13" t="n">
        <f aca="false">SUMIF('Master list'!$E$4:$E$185,$A14,'Master list'!V$4:V$185)</f>
        <v>0</v>
      </c>
      <c r="P14" s="13" t="n">
        <f aca="false">I14+J14</f>
        <v>1</v>
      </c>
      <c r="Q14" s="12" t="n">
        <f aca="false">B14+P14+K14+L14+M14-(D14-C14)-(H14-G14)-N14</f>
        <v>3</v>
      </c>
      <c r="R14" s="13" t="n">
        <f aca="false">SUMIF('Master list'!$E$4:$E$185,$A14,'Master list'!W$4:W$185)</f>
        <v>2</v>
      </c>
      <c r="S14" s="14" t="n">
        <f aca="false">R14/3</f>
        <v>0.666666666666667</v>
      </c>
      <c r="T14" s="15" t="n">
        <f aca="false">Q14+S14</f>
        <v>3.66666666666667</v>
      </c>
    </row>
    <row r="15" customFormat="false" ht="15" hidden="false" customHeight="false" outlineLevel="0" collapsed="false">
      <c r="A15" s="11" t="s">
        <v>258</v>
      </c>
      <c r="B15" s="12" t="n">
        <f aca="false">SUMIF('Master list'!$E$4:$E$185,$A15,'Master list'!I$4:I$185)</f>
        <v>0</v>
      </c>
      <c r="C15" s="13" t="n">
        <f aca="false">SUMIF('Master list'!$E$4:$E$185,$A15,'Master list'!J$4:J$185)</f>
        <v>0</v>
      </c>
      <c r="D15" s="13" t="n">
        <f aca="false">SUMIF('Master list'!$E$4:$E$185,$A15,'Master list'!K$4:K$185)</f>
        <v>0</v>
      </c>
      <c r="E15" s="13" t="n">
        <f aca="false">SUMIF('Master list'!$E$4:$E$185,$A15,'Master list'!L$4:L$185)</f>
        <v>0</v>
      </c>
      <c r="F15" s="13" t="n">
        <f aca="false">SUMIF('Master list'!$E$4:$E$185,$A15,'Master list'!M$4:M$185)</f>
        <v>0</v>
      </c>
      <c r="G15" s="13" t="n">
        <f aca="false">SUMIF('Master list'!$E$4:$E$185,$A15,'Master list'!N$4:N$185)</f>
        <v>0</v>
      </c>
      <c r="H15" s="13" t="n">
        <f aca="false">SUMIF('Master list'!$E$4:$E$185,$A15,'Master list'!O$4:O$185)</f>
        <v>0</v>
      </c>
      <c r="I15" s="13" t="n">
        <f aca="false">SUMIF('Master list'!$E$4:$E$185,$A15,'Master list'!P$4:P$185)</f>
        <v>0</v>
      </c>
      <c r="J15" s="13" t="n">
        <f aca="false">SUMIF('Master list'!$E$4:$E$185,$A15,'Master list'!Q$4:Q$185)</f>
        <v>1</v>
      </c>
      <c r="K15" s="13" t="n">
        <f aca="false">SUMIF('Master list'!$E$4:$E$185,$A15,'Master list'!R$4:R$185)</f>
        <v>0</v>
      </c>
      <c r="L15" s="13" t="n">
        <f aca="false">SUMIF('Master list'!$E$4:$E$185,$A15,'Master list'!S$4:S$185)</f>
        <v>0</v>
      </c>
      <c r="M15" s="13" t="n">
        <f aca="false">SUMIF('Master list'!$E$4:$E$185,$A15,'Master list'!T$4:T$185)</f>
        <v>0</v>
      </c>
      <c r="N15" s="13" t="n">
        <f aca="false">SUMIF('Master list'!$E$4:$E$185,$A15,'Master list'!U$4:U$185)</f>
        <v>0</v>
      </c>
      <c r="O15" s="13" t="n">
        <f aca="false">SUMIF('Master list'!$E$4:$E$185,$A15,'Master list'!V$4:V$185)</f>
        <v>1</v>
      </c>
      <c r="P15" s="13" t="n">
        <f aca="false">I15+J15</f>
        <v>1</v>
      </c>
      <c r="Q15" s="12" t="n">
        <f aca="false">B15+P15+K15+L15+M15-(D15-C15)-(H15-G15)-N15</f>
        <v>1</v>
      </c>
      <c r="R15" s="13" t="n">
        <f aca="false">SUMIF('Master list'!$E$4:$E$185,$A15,'Master list'!W$4:W$185)</f>
        <v>3</v>
      </c>
      <c r="S15" s="14" t="n">
        <f aca="false">R15/3</f>
        <v>1</v>
      </c>
      <c r="T15" s="15" t="n">
        <f aca="false">Q15+S15</f>
        <v>2</v>
      </c>
    </row>
    <row r="16" customFormat="false" ht="15" hidden="false" customHeight="false" outlineLevel="0" collapsed="false">
      <c r="A16" s="11" t="s">
        <v>304</v>
      </c>
      <c r="B16" s="16" t="n">
        <f aca="false">SUM(B4:B15)</f>
        <v>37</v>
      </c>
      <c r="C16" s="16" t="n">
        <f aca="false">SUM(C4:C15)</f>
        <v>13</v>
      </c>
      <c r="D16" s="16" t="n">
        <f aca="false">SUM(D4:D15)</f>
        <v>32</v>
      </c>
      <c r="E16" s="16" t="n">
        <f aca="false">SUM(E4:E15)</f>
        <v>2</v>
      </c>
      <c r="F16" s="16" t="n">
        <f aca="false">SUM(F4:F15)</f>
        <v>10</v>
      </c>
      <c r="G16" s="16" t="n">
        <f aca="false">SUM(G4:G15)</f>
        <v>9</v>
      </c>
      <c r="H16" s="16" t="n">
        <f aca="false">SUM(H4:H15)</f>
        <v>12</v>
      </c>
      <c r="I16" s="16" t="n">
        <f aca="false">SUM(I4:I15)</f>
        <v>6</v>
      </c>
      <c r="J16" s="16" t="n">
        <f aca="false">SUM(J4:J15)</f>
        <v>11</v>
      </c>
      <c r="K16" s="16" t="n">
        <f aca="false">SUM(K4:K15)</f>
        <v>11</v>
      </c>
      <c r="L16" s="16" t="n">
        <f aca="false">SUM(L4:L15)</f>
        <v>7</v>
      </c>
      <c r="M16" s="16" t="n">
        <f aca="false">SUM(M4:M15)</f>
        <v>4</v>
      </c>
      <c r="N16" s="16" t="n">
        <f aca="false">SUM(N4:N15)</f>
        <v>13</v>
      </c>
      <c r="O16" s="16" t="n">
        <f aca="false">SUM(O4:O15)</f>
        <v>6</v>
      </c>
      <c r="P16" s="16" t="n">
        <f aca="false">SUM(P4:P15)</f>
        <v>17</v>
      </c>
      <c r="Q16" s="16" t="n">
        <f aca="false">SUM(Q4:Q15)</f>
        <v>41</v>
      </c>
      <c r="R16" s="16" t="n">
        <f aca="false">SUM(R4:R15)</f>
        <v>157</v>
      </c>
      <c r="S16" s="17" t="n">
        <f aca="false">SUM(S4:S15)</f>
        <v>52.3333333333333</v>
      </c>
      <c r="T16" s="17" t="n">
        <f aca="false">SUM(T4:T15)</f>
        <v>93.3333333333333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2026-10-22T14:45:51Z</dcterms:created>
  <dc:creator>openpyxl</dc:creator>
  <dc:description/>
  <dc:language>en-US</dc:language>
  <cp:lastModifiedBy/>
  <dcterms:modified xsi:type="dcterms:W3CDTF">2026-10-22T14:45:51Z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